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" sheetId="1" state="visible" r:id="rId3"/>
    <sheet name="Themes" sheetId="2" state="visible" r:id="rId4"/>
    <sheet name="Mi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<sst xmlns="http://schemas.openxmlformats.org/spreadsheetml/2006/main" count="260" uniqueCount="178">
  <si>
    <t xml:space="preserve">📅 30-Day Post-Launch Content Calendar — Offline Translator v1.1</t>
  </si>
  <si>
    <t xml:space="preserve">From 2026-04-22 (Day 1) through 2026-05-21 (Day 30) · @mina0717</t>
  </si>
  <si>
    <t xml:space="preserve">Day</t>
  </si>
  <si>
    <t xml:space="preserve">Date</t>
  </si>
  <si>
    <t xml:space="preserve">Weekday</t>
  </si>
  <si>
    <t xml:space="preserve">Platform</t>
  </si>
  <si>
    <t xml:space="preserve">Angle / Theme</t>
  </si>
  <si>
    <t xml:space="preserve">Content Draft (120 chars max)</t>
  </si>
  <si>
    <t xml:space="preserve">Status</t>
  </si>
  <si>
    <t xml:space="preserve">D1</t>
  </si>
  <si>
    <t xml:space="preserve">2026-04-22</t>
  </si>
  <si>
    <t xml:space="preserve">Wed</t>
  </si>
  <si>
    <t xml:space="preserve">X/Twitter</t>
  </si>
  <si>
    <t xml:space="preserve">24h recap</t>
  </si>
  <si>
    <t xml:space="preserve">24 hours later: [X] downloads, [Y] GitHub stars, [Z] PH upvotes. Thank you. Screenshots below. 🧵</t>
  </si>
  <si>
    <t xml:space="preserve">☐</t>
  </si>
  <si>
    <t xml:space="preserve">IG Stories</t>
  </si>
  <si>
    <t xml:space="preserve">Thank-you reel</t>
  </si>
  <si>
    <t xml:space="preserve">Story highlight: thank you sticker + PH/HN screenshots. Save to 'Launch' highlight.</t>
  </si>
  <si>
    <t xml:space="preserve">D2</t>
  </si>
  <si>
    <t xml:space="preserve">2026-04-23</t>
  </si>
  <si>
    <t xml:space="preserve">Thu</t>
  </si>
  <si>
    <t xml:space="preserve">Blog + X</t>
  </si>
  <si>
    <t xml:space="preserve">Day-1 postmortem blog</t>
  </si>
  <si>
    <t xml:space="preserve">What worked, what didn't, what I'd do differently. 1500-word post.</t>
  </si>
  <si>
    <t xml:space="preserve">D3</t>
  </si>
  <si>
    <t xml:space="preserve">2026-04-24</t>
  </si>
  <si>
    <t xml:space="preserve">Fri</t>
  </si>
  <si>
    <t xml:space="preserve">Threads</t>
  </si>
  <si>
    <t xml:space="preserve">User testimonial</t>
  </si>
  <si>
    <t xml:space="preserve">Best reply I got yesterday: '[quote]'. This is why I build. 🙏</t>
  </si>
  <si>
    <t xml:space="preserve">D4</t>
  </si>
  <si>
    <t xml:space="preserve">2026-04-25</t>
  </si>
  <si>
    <t xml:space="preserve">Sat</t>
  </si>
  <si>
    <t xml:space="preserve">LinkedIn</t>
  </si>
  <si>
    <t xml:space="preserve">Professional reflection</t>
  </si>
  <si>
    <t xml:space="preserve">Shipping solo for 6 months: lessons on scope discipline and ignoring the metrics dashboard you never built.</t>
  </si>
  <si>
    <t xml:space="preserve">D5</t>
  </si>
  <si>
    <t xml:space="preserve">2026-04-26</t>
  </si>
  <si>
    <t xml:space="preserve">Sun</t>
  </si>
  <si>
    <t xml:space="preserve">X + IG</t>
  </si>
  <si>
    <t xml:space="preserve">Review quote card</t>
  </si>
  <si>
    <t xml:space="preserve">First App Store ⭐⭐⭐⭐⭐: '[review quote]'. Turn into IG card with brand template.</t>
  </si>
  <si>
    <t xml:space="preserve">D6</t>
  </si>
  <si>
    <t xml:space="preserve">2026-04-27</t>
  </si>
  <si>
    <t xml:space="preserve">Mon</t>
  </si>
  <si>
    <t xml:space="preserve">GitHub</t>
  </si>
  <si>
    <t xml:space="preserve">Weekly commit digest</t>
  </si>
  <si>
    <t xml:space="preserve">v1.1 hotfix release if any Day-1 bugs surface. Tag as v1.1.1.</t>
  </si>
  <si>
    <t xml:space="preserve">D7</t>
  </si>
  <si>
    <t xml:space="preserve">2026-04-28</t>
  </si>
  <si>
    <t xml:space="preserve">Tue</t>
  </si>
  <si>
    <t xml:space="preserve">Week 1 transparency</t>
  </si>
  <si>
    <t xml:space="preserve">Week 1 numbers with screenshots: downloads, reviews, crashes, GitHub issues. Full honesty.</t>
  </si>
  <si>
    <t xml:space="preserve">D8</t>
  </si>
  <si>
    <t xml:space="preserve">2026-04-29</t>
  </si>
  <si>
    <t xml:space="preserve">IG carousel</t>
  </si>
  <si>
    <t xml:space="preserve">Feature: Dictionary</t>
  </si>
  <si>
    <t xml:space="preserve">5-card carousel: 'The 170K-word dictionary nobody talks about'. Show POS tags, examples.</t>
  </si>
  <si>
    <t xml:space="preserve">D9</t>
  </si>
  <si>
    <t xml:space="preserve">2026-04-30</t>
  </si>
  <si>
    <t xml:space="preserve">X + Threads</t>
  </si>
  <si>
    <t xml:space="preserve">Feature: OCR demo</t>
  </si>
  <si>
    <t xml:space="preserve">15-sec video: point camera at Japanese menu → translation overlay. Zero network.</t>
  </si>
  <si>
    <t xml:space="preserve">D10</t>
  </si>
  <si>
    <t xml:space="preserve">2026-05-01</t>
  </si>
  <si>
    <t xml:space="preserve">Blog</t>
  </si>
  <si>
    <t xml:space="preserve">Feature: How Apple Translation works</t>
  </si>
  <si>
    <t xml:space="preserve">Deep dive: what I learned integrating Apple Translation framework. Tips for other devs.</t>
  </si>
  <si>
    <t xml:space="preserve">D11</t>
  </si>
  <si>
    <t xml:space="preserve">2026-05-02</t>
  </si>
  <si>
    <t xml:space="preserve">Feature: Voice mode</t>
  </si>
  <si>
    <t xml:space="preserve">Carousel: hold-to-speak gesture. Show haptic + on-device speech + translate flow.</t>
  </si>
  <si>
    <t xml:space="preserve">D12</t>
  </si>
  <si>
    <t xml:space="preserve">2026-05-03</t>
  </si>
  <si>
    <t xml:space="preserve">X</t>
  </si>
  <si>
    <t xml:space="preserve">Feature: Share Extension</t>
  </si>
  <si>
    <t xml:space="preserve">Tweet: 'Did you know? Select text anywhere → share → Offline Translator. 2 taps.'</t>
  </si>
  <si>
    <t xml:space="preserve">D13</t>
  </si>
  <si>
    <t xml:space="preserve">2026-05-04</t>
  </si>
  <si>
    <t xml:space="preserve">Feature: Siri Shortcut</t>
  </si>
  <si>
    <t xml:space="preserve">'Hey Siri, translate clipboard' — demo video. Perfect for one-handed travel.</t>
  </si>
  <si>
    <t xml:space="preserve">D14</t>
  </si>
  <si>
    <t xml:space="preserve">2026-05-05</t>
  </si>
  <si>
    <t xml:space="preserve">GitHub + Blog</t>
  </si>
  <si>
    <t xml:space="preserve">Technical deep dive</t>
  </si>
  <si>
    <t xml:space="preserve">Blog: 'Why PrivacyInfo.xcprivacy matters — and how I made mine empty'. Link repo.</t>
  </si>
  <si>
    <t xml:space="preserve">D15</t>
  </si>
  <si>
    <t xml:space="preserve">2026-05-06</t>
  </si>
  <si>
    <t xml:space="preserve">X + LinkedIn</t>
  </si>
  <si>
    <t xml:space="preserve">Lesson: Scope discipline</t>
  </si>
  <si>
    <t xml:space="preserve">'The hardest part wasn't the code. It was saying no to every feature I wanted to add.'</t>
  </si>
  <si>
    <t xml:space="preserve">D16</t>
  </si>
  <si>
    <t xml:space="preserve">2026-05-07</t>
  </si>
  <si>
    <t xml:space="preserve">Lesson: Privacy as constraint</t>
  </si>
  <si>
    <t xml:space="preserve">How building without analytics forced better UI decisions. 800 words.</t>
  </si>
  <si>
    <t xml:space="preserve">D17</t>
  </si>
  <si>
    <t xml:space="preserve">2026-05-08</t>
  </si>
  <si>
    <t xml:space="preserve">Process: Daily standup (solo)</t>
  </si>
  <si>
    <t xml:space="preserve">How I ran standup with myself for 6 months. TodoList screenshot + routine.</t>
  </si>
  <si>
    <t xml:space="preserve">D18</t>
  </si>
  <si>
    <t xml:space="preserve">2026-05-09</t>
  </si>
  <si>
    <t xml:space="preserve">IG Reels</t>
  </si>
  <si>
    <t xml:space="preserve">Timelapse: code → launch</t>
  </si>
  <si>
    <t xml:space="preserve">30-sec timelapse of Xcode → App Store Connect → launch day. Music + captions.</t>
  </si>
  <si>
    <t xml:space="preserve">D19</t>
  </si>
  <si>
    <t xml:space="preserve">2026-05-10</t>
  </si>
  <si>
    <t xml:space="preserve">X thread</t>
  </si>
  <si>
    <t xml:space="preserve">6-month journey</t>
  </si>
  <si>
    <t xml:space="preserve">10-tweet thread: idea → MVP → scope creep → saying no → ship → iterate. With screenshots.</t>
  </si>
  <si>
    <t xml:space="preserve">D20</t>
  </si>
  <si>
    <t xml:space="preserve">2026-05-11</t>
  </si>
  <si>
    <t xml:space="preserve">Cost breakdown</t>
  </si>
  <si>
    <t xml:space="preserve">Blog: 'What it costs to run a zero-server app in 2026: $0/month. Here's why.'</t>
  </si>
  <si>
    <t xml:space="preserve">D21</t>
  </si>
  <si>
    <t xml:space="preserve">2026-05-12</t>
  </si>
  <si>
    <t xml:space="preserve">Week 3 recap</t>
  </si>
  <si>
    <t xml:space="preserve">Transparency continues</t>
  </si>
  <si>
    <t xml:space="preserve">Week 3 numbers. What changed. What I'm learning from user feedback.</t>
  </si>
  <si>
    <t xml:space="preserve">D22</t>
  </si>
  <si>
    <t xml:space="preserve">2026-05-13</t>
  </si>
  <si>
    <t xml:space="preserve">Use case: Japan trip</t>
  </si>
  <si>
    <t xml:space="preserve">Real story: translating a prescription label in Tokyo pharmacy. 5-card carousel.</t>
  </si>
  <si>
    <t xml:space="preserve">D23</t>
  </si>
  <si>
    <t xml:space="preserve">2026-05-14</t>
  </si>
  <si>
    <t xml:space="preserve">Use case: menu OCR</t>
  </si>
  <si>
    <t xml:space="preserve">Side-by-side: Google Translate screenshot vs Offline Translator on same menu. Privacy angle.</t>
  </si>
  <si>
    <t xml:space="preserve">D24</t>
  </si>
  <si>
    <t xml:space="preserve">2026-05-15</t>
  </si>
  <si>
    <t xml:space="preserve">Use case: contract review</t>
  </si>
  <si>
    <t xml:space="preserve">For freelancers: translate international client agreements without sending clauses to servers.</t>
  </si>
  <si>
    <t xml:space="preserve">D25</t>
  </si>
  <si>
    <t xml:space="preserve">2026-05-16</t>
  </si>
  <si>
    <t xml:space="preserve">Behind the scenes</t>
  </si>
  <si>
    <r>
      <rPr>
        <sz val="9"/>
        <color rgb="FF000000"/>
        <rFont val="Microsoft JhengHei"/>
        <family val="0"/>
        <charset val="1"/>
      </rPr>
      <t xml:space="preserve">Day in life: working on v1.2 at cafe. Show </t>
    </r>
    <r>
      <rPr>
        <sz val="9"/>
        <color rgb="FF000000"/>
        <rFont val="DejaVu Sans"/>
        <family val="2"/>
      </rPr>
      <t xml:space="preserve">飛航模式 </t>
    </r>
    <r>
      <rPr>
        <sz val="9"/>
        <color rgb="FF000000"/>
        <rFont val="Microsoft JhengHei"/>
        <family val="0"/>
        <charset val="1"/>
      </rPr>
      <t xml:space="preserve">on + app still working.</t>
    </r>
  </si>
  <si>
    <t xml:space="preserve">D26</t>
  </si>
  <si>
    <t xml:space="preserve">2026-05-17</t>
  </si>
  <si>
    <t xml:space="preserve">v1.2 preview</t>
  </si>
  <si>
    <t xml:space="preserve">What's coming in v1.2: Home Screen Widget, iPad Split View, iCloud sync, SharePlay captions.</t>
  </si>
  <si>
    <t xml:space="preserve">D27</t>
  </si>
  <si>
    <t xml:space="preserve">2026-05-18</t>
  </si>
  <si>
    <t xml:space="preserve">User request highlights</t>
  </si>
  <si>
    <t xml:space="preserve">'Top 5 feature requests from Week 1-4 and where they sit on the roadmap'. Be honest.</t>
  </si>
  <si>
    <t xml:space="preserve">D28</t>
  </si>
  <si>
    <t xml:space="preserve">2026-05-19</t>
  </si>
  <si>
    <t xml:space="preserve">Teaser screenshot</t>
  </si>
  <si>
    <t xml:space="preserve">Single screenshot of v1.2 Home Screen Widget WIP. Engagement bait (intentional).</t>
  </si>
  <si>
    <t xml:space="preserve">D29</t>
  </si>
  <si>
    <t xml:space="preserve">2026-05-20</t>
  </si>
  <si>
    <t xml:space="preserve">Demo: offline in Tokyo</t>
  </si>
  <si>
    <t xml:space="preserve">30-sec reel: travel footage + translation demo. Background track, no voiceover.</t>
  </si>
  <si>
    <t xml:space="preserve">D30</t>
  </si>
  <si>
    <t xml:space="preserve">2026-05-21</t>
  </si>
  <si>
    <t xml:space="preserve">Blog + all channels</t>
  </si>
  <si>
    <t xml:space="preserve">1-month retrospective</t>
  </si>
  <si>
    <t xml:space="preserve">'30 days in: what happened, what's next'. Long-form recap + roadmap publication.</t>
  </si>
  <si>
    <t xml:space="preserve">🎨 Weekly Theme Rotation</t>
  </si>
  <si>
    <t xml:space="preserve">Week</t>
  </si>
  <si>
    <t xml:space="preserve">Theme</t>
  </si>
  <si>
    <t xml:space="preserve">Goal</t>
  </si>
  <si>
    <t xml:space="preserve">W1 (Day 1-7)</t>
  </si>
  <si>
    <t xml:space="preserve">Launch momentum · thank-yous · first reviews</t>
  </si>
  <si>
    <t xml:space="preserve">Sustain Day-1 spike. Show gratitude. Catch testimonials.</t>
  </si>
  <si>
    <t xml:space="preserve">W2 (Day 8-14)</t>
  </si>
  <si>
    <t xml:space="preserve">Feature deep-dives (dict / OCR / voice / share)</t>
  </si>
  <si>
    <t xml:space="preserve">Educate users on the 'hidden depth'. Show craftsmanship.</t>
  </si>
  <si>
    <t xml:space="preserve">W3 (Day 15-21)</t>
  </si>
  <si>
    <t xml:space="preserve">Behind-the-scenes · lessons · process</t>
  </si>
  <si>
    <t xml:space="preserve">Humanize the builder. Build authority + trust.</t>
  </si>
  <si>
    <t xml:space="preserve">W4 (Day 22-30)</t>
  </si>
  <si>
    <t xml:space="preserve">Use cases · travel stories · v1.2 teases</t>
  </si>
  <si>
    <t xml:space="preserve">Drive real-world usage. Set up v1.2 launch.</t>
  </si>
  <si>
    <t xml:space="preserve">📊 Platform Mix (30 days)</t>
  </si>
  <si>
    <t xml:space="preserve">Post Count</t>
  </si>
  <si>
    <t xml:space="preserve">% of Total</t>
  </si>
  <si>
    <t xml:space="preserve">IG</t>
  </si>
  <si>
    <t xml:space="preserve">all channels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</si>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</sst>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Microsoft JhengHei"/>
      <family val="0"/>
      <charset val="1"/>
    </font>
    <font>
      <sz val="10"/>
      <color rgb="FF6E6E73"/>
      <name val="Microsoft JhengHei"/>
      <family val="0"/>
      <charset val="1"/>
    </font>
    <font>
      <b val="true"/>
      <sz val="11"/>
      <color rgb="FFFFFFFF"/>
      <name val="Microsoft JhengHei"/>
      <family val="0"/>
      <charset val="1"/>
    </font>
    <font>
      <sz val="9"/>
      <color rgb="FF0B1438"/>
      <name val="Microsoft JhengHei"/>
      <family val="0"/>
      <charset val="1"/>
    </font>
    <font>
      <sz val="9"/>
      <color rgb="FF6E6E73"/>
      <name val="Microsoft JhengHei"/>
      <family val="0"/>
      <charset val="1"/>
    </font>
    <font>
      <b val="true"/>
      <sz val="10"/>
      <color rgb="FF0B1438"/>
      <name val="Microsoft JhengHei"/>
      <family val="0"/>
      <charset val="1"/>
    </font>
    <font>
      <sz val="10"/>
      <color rgb="FF000000"/>
      <name val="Microsoft JhengHei"/>
      <family val="0"/>
      <charset val="1"/>
    </font>
    <font>
      <sz val="9"/>
      <color rgb="FF000000"/>
      <name val="Microsoft JhengHei"/>
      <family val="0"/>
      <charset val="1"/>
    </font>
    <font>
      <b val="true"/>
      <sz val="12"/>
      <color rgb="FF6E6E73"/>
      <name val="Microsoft JhengHei"/>
      <family val="0"/>
      <charset val="1"/>
    </font>
    <font>
      <sz val="9"/>
      <color rgb="FF000000"/>
      <name val="DejaVu Sans"/>
      <family val="2"/>
    </font>
    <font>
      <sz val="10"/>
      <color rgb="FF0000FF"/>
      <name val="Microsoft JhengHei"/>
      <family val="0"/>
      <charset val="1"/>
    </font>
    <font>
      <b val="true"/>
      <sz val="11"/>
      <color rgb="FF0B1438"/>
      <name val="Microsoft JhengHe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1438"/>
        <bgColor rgb="FF000000"/>
      </patternFill>
    </fill>
    <fill>
      <patternFill patternType="solid">
        <fgColor rgb="FFF4F5F9"/>
        <bgColor rgb="FFFFFFFF"/>
      </patternFill>
    </fill>
    <fill>
      <patternFill patternType="solid">
        <fgColor rgb="FF5EE2D7"/>
        <bgColor rgb="FF99CCFF"/>
      </patternFill>
    </fill>
    <fill>
      <patternFill patternType="solid">
        <fgColor rgb="FFFF6B6B"/>
        <bgColor rgb="FFFF6600"/>
      </patternFill>
    </fill>
    <fill>
      <patternFill patternType="solid">
        <fgColor rgb="FFFFFFFF"/>
        <bgColor rgb="FFF4F5F9"/>
      </patternFill>
    </fill>
    <fill>
      <patternFill patternType="solid">
        <fgColor rgb="FFF5A623"/>
        <bgColor rgb="FFFFCC00"/>
      </patternFill>
    </fill>
    <fill>
      <patternFill patternType="solid">
        <fgColor rgb="FF8E44AD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1D6"/>
      </left>
      <right/>
      <top style="thin">
        <color rgb="FFD1D1D6"/>
      </top>
      <bottom style="thin">
        <color rgb="FFD1D1D6"/>
      </bottom>
      <diagonal/>
    </border>
    <border diagonalUp="false" diagonalDown="false">
      <left style="thin">
        <color rgb="FFD1D1D6"/>
      </left>
      <right style="thin">
        <color rgb="FFD1D1D6"/>
      </right>
      <top style="thin">
        <color rgb="FFD1D1D6"/>
      </top>
      <bottom style="thin">
        <color rgb="FFD1D1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E44AD"/>
      <rgbColor rgb="FFF4F5F9"/>
      <rgbColor rgb="FFCCFFFF"/>
      <rgbColor rgb="FF660066"/>
      <rgbColor rgb="FFFF6B6B"/>
      <rgbColor rgb="FF0066CC"/>
      <rgbColor rgb="FFD1D1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EE2D7"/>
      <rgbColor rgb="FF99CC00"/>
      <rgbColor rgb="FFFFCC00"/>
      <rgbColor rgb="FFF5A623"/>
      <rgbColor rgb="FFFF6600"/>
      <rgbColor rgb="FF6E6E73"/>
      <rgbColor rgb="FF969696"/>
      <rgbColor rgb="FF0B143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55"/>
    <col collapsed="false" customWidth="true" hidden="false" outlineLevel="0" max="7" min="7" style="0" width="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8" hidden="false" customHeight="true" outlineLevel="0" collapsed="false">
      <c r="A5" s="4" t="s">
        <v>9</v>
      </c>
      <c r="B5" s="5" t="s">
        <v>10</v>
      </c>
      <c r="C5" s="6" t="s">
        <v>11</v>
      </c>
      <c r="D5" s="7" t="s">
        <v>12</v>
      </c>
      <c r="E5" s="8" t="s">
        <v>13</v>
      </c>
      <c r="F5" s="9" t="s">
        <v>14</v>
      </c>
      <c r="G5" s="10" t="s">
        <v>15</v>
      </c>
    </row>
    <row r="6" customFormat="false" ht="48" hidden="false" customHeight="true" outlineLevel="0" collapsed="false">
      <c r="A6" s="4" t="s">
        <v>9</v>
      </c>
      <c r="B6" s="5" t="s">
        <v>10</v>
      </c>
      <c r="C6" s="6" t="s">
        <v>11</v>
      </c>
      <c r="D6" s="7" t="s">
        <v>16</v>
      </c>
      <c r="E6" s="8" t="s">
        <v>17</v>
      </c>
      <c r="F6" s="9" t="s">
        <v>18</v>
      </c>
      <c r="G6" s="10" t="s">
        <v>15</v>
      </c>
    </row>
    <row r="7" customFormat="false" ht="48" hidden="false" customHeight="true" outlineLevel="0" collapsed="false">
      <c r="A7" s="4" t="s">
        <v>19</v>
      </c>
      <c r="B7" s="5" t="s">
        <v>20</v>
      </c>
      <c r="C7" s="6" t="s">
        <v>21</v>
      </c>
      <c r="D7" s="7" t="s">
        <v>22</v>
      </c>
      <c r="E7" s="8" t="s">
        <v>23</v>
      </c>
      <c r="F7" s="9" t="s">
        <v>24</v>
      </c>
      <c r="G7" s="10" t="s">
        <v>15</v>
      </c>
    </row>
    <row r="8" customFormat="false" ht="48" hidden="false" customHeight="true" outlineLevel="0" collapsed="false">
      <c r="A8" s="4" t="s">
        <v>25</v>
      </c>
      <c r="B8" s="5" t="s">
        <v>26</v>
      </c>
      <c r="C8" s="6" t="s">
        <v>27</v>
      </c>
      <c r="D8" s="7" t="s">
        <v>28</v>
      </c>
      <c r="E8" s="8" t="s">
        <v>29</v>
      </c>
      <c r="F8" s="9" t="s">
        <v>30</v>
      </c>
      <c r="G8" s="10" t="s">
        <v>15</v>
      </c>
    </row>
    <row r="9" customFormat="false" ht="48" hidden="false" customHeight="true" outlineLevel="0" collapsed="false">
      <c r="A9" s="4" t="s">
        <v>31</v>
      </c>
      <c r="B9" s="5" t="s">
        <v>32</v>
      </c>
      <c r="C9" s="6" t="s">
        <v>33</v>
      </c>
      <c r="D9" s="7" t="s">
        <v>34</v>
      </c>
      <c r="E9" s="8" t="s">
        <v>35</v>
      </c>
      <c r="F9" s="9" t="s">
        <v>36</v>
      </c>
      <c r="G9" s="10" t="s">
        <v>15</v>
      </c>
    </row>
    <row r="10" customFormat="false" ht="48" hidden="false" customHeight="true" outlineLevel="0" collapsed="false">
      <c r="A10" s="4" t="s">
        <v>37</v>
      </c>
      <c r="B10" s="5" t="s">
        <v>38</v>
      </c>
      <c r="C10" s="6" t="s">
        <v>39</v>
      </c>
      <c r="D10" s="7" t="s">
        <v>40</v>
      </c>
      <c r="E10" s="8" t="s">
        <v>41</v>
      </c>
      <c r="F10" s="9" t="s">
        <v>42</v>
      </c>
      <c r="G10" s="10" t="s">
        <v>15</v>
      </c>
    </row>
    <row r="11" customFormat="false" ht="48" hidden="false" customHeight="true" outlineLevel="0" collapsed="false">
      <c r="A11" s="4" t="s">
        <v>43</v>
      </c>
      <c r="B11" s="5" t="s">
        <v>44</v>
      </c>
      <c r="C11" s="6" t="s">
        <v>45</v>
      </c>
      <c r="D11" s="7" t="s">
        <v>46</v>
      </c>
      <c r="E11" s="8" t="s">
        <v>47</v>
      </c>
      <c r="F11" s="9" t="s">
        <v>48</v>
      </c>
      <c r="G11" s="10" t="s">
        <v>15</v>
      </c>
    </row>
    <row r="12" customFormat="false" ht="48" hidden="false" customHeight="true" outlineLevel="0" collapsed="false">
      <c r="A12" s="4" t="s">
        <v>49</v>
      </c>
      <c r="B12" s="5" t="s">
        <v>50</v>
      </c>
      <c r="C12" s="6" t="s">
        <v>51</v>
      </c>
      <c r="D12" s="7" t="s">
        <v>22</v>
      </c>
      <c r="E12" s="8" t="s">
        <v>52</v>
      </c>
      <c r="F12" s="9" t="s">
        <v>53</v>
      </c>
      <c r="G12" s="10" t="s">
        <v>15</v>
      </c>
    </row>
    <row r="13" customFormat="false" ht="48" hidden="false" customHeight="true" outlineLevel="0" collapsed="false">
      <c r="A13" s="11" t="s">
        <v>54</v>
      </c>
      <c r="B13" s="12" t="s">
        <v>55</v>
      </c>
      <c r="C13" s="13" t="s">
        <v>11</v>
      </c>
      <c r="D13" s="14" t="s">
        <v>56</v>
      </c>
      <c r="E13" s="15" t="s">
        <v>57</v>
      </c>
      <c r="F13" s="16" t="s">
        <v>58</v>
      </c>
      <c r="G13" s="17" t="s">
        <v>15</v>
      </c>
    </row>
    <row r="14" customFormat="false" ht="48" hidden="false" customHeight="true" outlineLevel="0" collapsed="false">
      <c r="A14" s="11" t="s">
        <v>59</v>
      </c>
      <c r="B14" s="12" t="s">
        <v>60</v>
      </c>
      <c r="C14" s="13" t="s">
        <v>21</v>
      </c>
      <c r="D14" s="14" t="s">
        <v>61</v>
      </c>
      <c r="E14" s="15" t="s">
        <v>62</v>
      </c>
      <c r="F14" s="16" t="s">
        <v>63</v>
      </c>
      <c r="G14" s="17" t="s">
        <v>15</v>
      </c>
    </row>
    <row r="15" customFormat="false" ht="48" hidden="false" customHeight="true" outlineLevel="0" collapsed="false">
      <c r="A15" s="11" t="s">
        <v>64</v>
      </c>
      <c r="B15" s="12" t="s">
        <v>65</v>
      </c>
      <c r="C15" s="13" t="s">
        <v>27</v>
      </c>
      <c r="D15" s="14" t="s">
        <v>66</v>
      </c>
      <c r="E15" s="15" t="s">
        <v>67</v>
      </c>
      <c r="F15" s="16" t="s">
        <v>68</v>
      </c>
      <c r="G15" s="17" t="s">
        <v>15</v>
      </c>
    </row>
    <row r="16" customFormat="false" ht="48" hidden="false" customHeight="true" outlineLevel="0" collapsed="false">
      <c r="A16" s="11" t="s">
        <v>69</v>
      </c>
      <c r="B16" s="12" t="s">
        <v>70</v>
      </c>
      <c r="C16" s="13" t="s">
        <v>33</v>
      </c>
      <c r="D16" s="14" t="s">
        <v>56</v>
      </c>
      <c r="E16" s="15" t="s">
        <v>71</v>
      </c>
      <c r="F16" s="16" t="s">
        <v>72</v>
      </c>
      <c r="G16" s="17" t="s">
        <v>15</v>
      </c>
    </row>
    <row r="17" customFormat="false" ht="48" hidden="false" customHeight="true" outlineLevel="0" collapsed="false">
      <c r="A17" s="11" t="s">
        <v>73</v>
      </c>
      <c r="B17" s="12" t="s">
        <v>74</v>
      </c>
      <c r="C17" s="13" t="s">
        <v>39</v>
      </c>
      <c r="D17" s="14" t="s">
        <v>75</v>
      </c>
      <c r="E17" s="15" t="s">
        <v>76</v>
      </c>
      <c r="F17" s="16" t="s">
        <v>77</v>
      </c>
      <c r="G17" s="17" t="s">
        <v>15</v>
      </c>
    </row>
    <row r="18" customFormat="false" ht="48" hidden="false" customHeight="true" outlineLevel="0" collapsed="false">
      <c r="A18" s="11" t="s">
        <v>78</v>
      </c>
      <c r="B18" s="12" t="s">
        <v>79</v>
      </c>
      <c r="C18" s="13" t="s">
        <v>45</v>
      </c>
      <c r="D18" s="14" t="s">
        <v>28</v>
      </c>
      <c r="E18" s="15" t="s">
        <v>80</v>
      </c>
      <c r="F18" s="16" t="s">
        <v>81</v>
      </c>
      <c r="G18" s="17" t="s">
        <v>15</v>
      </c>
    </row>
    <row r="19" customFormat="false" ht="48" hidden="false" customHeight="true" outlineLevel="0" collapsed="false">
      <c r="A19" s="11" t="s">
        <v>82</v>
      </c>
      <c r="B19" s="12" t="s">
        <v>83</v>
      </c>
      <c r="C19" s="13" t="s">
        <v>51</v>
      </c>
      <c r="D19" s="14" t="s">
        <v>84</v>
      </c>
      <c r="E19" s="15" t="s">
        <v>85</v>
      </c>
      <c r="F19" s="16" t="s">
        <v>86</v>
      </c>
      <c r="G19" s="17" t="s">
        <v>15</v>
      </c>
    </row>
    <row r="20" customFormat="false" ht="48" hidden="false" customHeight="true" outlineLevel="0" collapsed="false">
      <c r="A20" s="18" t="s">
        <v>87</v>
      </c>
      <c r="B20" s="5" t="s">
        <v>88</v>
      </c>
      <c r="C20" s="6" t="s">
        <v>11</v>
      </c>
      <c r="D20" s="7" t="s">
        <v>89</v>
      </c>
      <c r="E20" s="8" t="s">
        <v>90</v>
      </c>
      <c r="F20" s="9" t="s">
        <v>91</v>
      </c>
      <c r="G20" s="10" t="s">
        <v>15</v>
      </c>
    </row>
    <row r="21" customFormat="false" ht="48" hidden="false" customHeight="true" outlineLevel="0" collapsed="false">
      <c r="A21" s="18" t="s">
        <v>92</v>
      </c>
      <c r="B21" s="5" t="s">
        <v>93</v>
      </c>
      <c r="C21" s="6" t="s">
        <v>21</v>
      </c>
      <c r="D21" s="7" t="s">
        <v>66</v>
      </c>
      <c r="E21" s="8" t="s">
        <v>94</v>
      </c>
      <c r="F21" s="9" t="s">
        <v>95</v>
      </c>
      <c r="G21" s="10" t="s">
        <v>15</v>
      </c>
    </row>
    <row r="22" customFormat="false" ht="48" hidden="false" customHeight="true" outlineLevel="0" collapsed="false">
      <c r="A22" s="18" t="s">
        <v>96</v>
      </c>
      <c r="B22" s="5" t="s">
        <v>97</v>
      </c>
      <c r="C22" s="6" t="s">
        <v>27</v>
      </c>
      <c r="D22" s="7" t="s">
        <v>28</v>
      </c>
      <c r="E22" s="8" t="s">
        <v>98</v>
      </c>
      <c r="F22" s="9" t="s">
        <v>99</v>
      </c>
      <c r="G22" s="10" t="s">
        <v>15</v>
      </c>
    </row>
    <row r="23" customFormat="false" ht="48" hidden="false" customHeight="true" outlineLevel="0" collapsed="false">
      <c r="A23" s="18" t="s">
        <v>100</v>
      </c>
      <c r="B23" s="5" t="s">
        <v>101</v>
      </c>
      <c r="C23" s="6" t="s">
        <v>33</v>
      </c>
      <c r="D23" s="7" t="s">
        <v>102</v>
      </c>
      <c r="E23" s="8" t="s">
        <v>103</v>
      </c>
      <c r="F23" s="9" t="s">
        <v>104</v>
      </c>
      <c r="G23" s="10" t="s">
        <v>15</v>
      </c>
    </row>
    <row r="24" customFormat="false" ht="48" hidden="false" customHeight="true" outlineLevel="0" collapsed="false">
      <c r="A24" s="18" t="s">
        <v>105</v>
      </c>
      <c r="B24" s="5" t="s">
        <v>106</v>
      </c>
      <c r="C24" s="6" t="s">
        <v>39</v>
      </c>
      <c r="D24" s="7" t="s">
        <v>107</v>
      </c>
      <c r="E24" s="8" t="s">
        <v>108</v>
      </c>
      <c r="F24" s="9" t="s">
        <v>109</v>
      </c>
      <c r="G24" s="10" t="s">
        <v>15</v>
      </c>
    </row>
    <row r="25" customFormat="false" ht="48" hidden="false" customHeight="true" outlineLevel="0" collapsed="false">
      <c r="A25" s="18" t="s">
        <v>110</v>
      </c>
      <c r="B25" s="5" t="s">
        <v>111</v>
      </c>
      <c r="C25" s="6" t="s">
        <v>45</v>
      </c>
      <c r="D25" s="7" t="s">
        <v>66</v>
      </c>
      <c r="E25" s="8" t="s">
        <v>112</v>
      </c>
      <c r="F25" s="9" t="s">
        <v>113</v>
      </c>
      <c r="G25" s="10" t="s">
        <v>15</v>
      </c>
    </row>
    <row r="26" customFormat="false" ht="48" hidden="false" customHeight="true" outlineLevel="0" collapsed="false">
      <c r="A26" s="18" t="s">
        <v>114</v>
      </c>
      <c r="B26" s="5" t="s">
        <v>115</v>
      </c>
      <c r="C26" s="6" t="s">
        <v>51</v>
      </c>
      <c r="D26" s="7" t="s">
        <v>116</v>
      </c>
      <c r="E26" s="8" t="s">
        <v>117</v>
      </c>
      <c r="F26" s="9" t="s">
        <v>118</v>
      </c>
      <c r="G26" s="10" t="s">
        <v>15</v>
      </c>
    </row>
    <row r="27" customFormat="false" ht="48" hidden="false" customHeight="true" outlineLevel="0" collapsed="false">
      <c r="A27" s="19" t="s">
        <v>119</v>
      </c>
      <c r="B27" s="12" t="s">
        <v>120</v>
      </c>
      <c r="C27" s="13" t="s">
        <v>11</v>
      </c>
      <c r="D27" s="14" t="s">
        <v>56</v>
      </c>
      <c r="E27" s="15" t="s">
        <v>121</v>
      </c>
      <c r="F27" s="16" t="s">
        <v>122</v>
      </c>
      <c r="G27" s="17" t="s">
        <v>15</v>
      </c>
    </row>
    <row r="28" customFormat="false" ht="48" hidden="false" customHeight="true" outlineLevel="0" collapsed="false">
      <c r="A28" s="19" t="s">
        <v>123</v>
      </c>
      <c r="B28" s="12" t="s">
        <v>124</v>
      </c>
      <c r="C28" s="13" t="s">
        <v>21</v>
      </c>
      <c r="D28" s="14" t="s">
        <v>61</v>
      </c>
      <c r="E28" s="15" t="s">
        <v>125</v>
      </c>
      <c r="F28" s="16" t="s">
        <v>126</v>
      </c>
      <c r="G28" s="17" t="s">
        <v>15</v>
      </c>
    </row>
    <row r="29" customFormat="false" ht="48" hidden="false" customHeight="true" outlineLevel="0" collapsed="false">
      <c r="A29" s="19" t="s">
        <v>127</v>
      </c>
      <c r="B29" s="12" t="s">
        <v>128</v>
      </c>
      <c r="C29" s="13" t="s">
        <v>27</v>
      </c>
      <c r="D29" s="14" t="s">
        <v>34</v>
      </c>
      <c r="E29" s="15" t="s">
        <v>129</v>
      </c>
      <c r="F29" s="16" t="s">
        <v>130</v>
      </c>
      <c r="G29" s="17" t="s">
        <v>15</v>
      </c>
    </row>
    <row r="30" customFormat="false" ht="48" hidden="false" customHeight="true" outlineLevel="0" collapsed="false">
      <c r="A30" s="19" t="s">
        <v>131</v>
      </c>
      <c r="B30" s="12" t="s">
        <v>132</v>
      </c>
      <c r="C30" s="13" t="s">
        <v>33</v>
      </c>
      <c r="D30" s="14" t="s">
        <v>16</v>
      </c>
      <c r="E30" s="15" t="s">
        <v>133</v>
      </c>
      <c r="F30" s="16" t="s">
        <v>134</v>
      </c>
      <c r="G30" s="17" t="s">
        <v>15</v>
      </c>
    </row>
    <row r="31" customFormat="false" ht="48" hidden="false" customHeight="true" outlineLevel="0" collapsed="false">
      <c r="A31" s="19" t="s">
        <v>135</v>
      </c>
      <c r="B31" s="12" t="s">
        <v>136</v>
      </c>
      <c r="C31" s="13" t="s">
        <v>39</v>
      </c>
      <c r="D31" s="14" t="s">
        <v>66</v>
      </c>
      <c r="E31" s="15" t="s">
        <v>137</v>
      </c>
      <c r="F31" s="16" t="s">
        <v>138</v>
      </c>
      <c r="G31" s="17" t="s">
        <v>15</v>
      </c>
    </row>
    <row r="32" customFormat="false" ht="48" hidden="false" customHeight="true" outlineLevel="0" collapsed="false">
      <c r="A32" s="19" t="s">
        <v>139</v>
      </c>
      <c r="B32" s="12" t="s">
        <v>140</v>
      </c>
      <c r="C32" s="13" t="s">
        <v>45</v>
      </c>
      <c r="D32" s="14" t="s">
        <v>28</v>
      </c>
      <c r="E32" s="15" t="s">
        <v>141</v>
      </c>
      <c r="F32" s="16" t="s">
        <v>142</v>
      </c>
      <c r="G32" s="17" t="s">
        <v>15</v>
      </c>
    </row>
    <row r="33" customFormat="false" ht="48" hidden="false" customHeight="true" outlineLevel="0" collapsed="false">
      <c r="A33" s="19" t="s">
        <v>143</v>
      </c>
      <c r="B33" s="12" t="s">
        <v>144</v>
      </c>
      <c r="C33" s="13" t="s">
        <v>51</v>
      </c>
      <c r="D33" s="14" t="s">
        <v>75</v>
      </c>
      <c r="E33" s="15" t="s">
        <v>145</v>
      </c>
      <c r="F33" s="16" t="s">
        <v>146</v>
      </c>
      <c r="G33" s="17" t="s">
        <v>15</v>
      </c>
    </row>
    <row r="34" customFormat="false" ht="48" hidden="false" customHeight="true" outlineLevel="0" collapsed="false">
      <c r="A34" s="19" t="s">
        <v>147</v>
      </c>
      <c r="B34" s="12" t="s">
        <v>148</v>
      </c>
      <c r="C34" s="13" t="s">
        <v>11</v>
      </c>
      <c r="D34" s="14" t="s">
        <v>102</v>
      </c>
      <c r="E34" s="15" t="s">
        <v>149</v>
      </c>
      <c r="F34" s="16" t="s">
        <v>150</v>
      </c>
      <c r="G34" s="17" t="s">
        <v>15</v>
      </c>
    </row>
    <row r="35" customFormat="false" ht="48" hidden="false" customHeight="true" outlineLevel="0" collapsed="false">
      <c r="A35" s="19" t="s">
        <v>151</v>
      </c>
      <c r="B35" s="12" t="s">
        <v>152</v>
      </c>
      <c r="C35" s="13" t="s">
        <v>21</v>
      </c>
      <c r="D35" s="14" t="s">
        <v>153</v>
      </c>
      <c r="E35" s="15" t="s">
        <v>154</v>
      </c>
      <c r="F35" s="16" t="s">
        <v>155</v>
      </c>
      <c r="G35" s="17" t="s">
        <v>15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55"/>
  </cols>
  <sheetData>
    <row r="1" customFormat="false" ht="36" hidden="false" customHeight="true" outlineLevel="0" collapsed="false">
      <c r="A1" s="1" t="s">
        <v>156</v>
      </c>
      <c r="B1" s="1"/>
      <c r="C1" s="1"/>
    </row>
    <row r="3" customFormat="false" ht="31.5" hidden="false" customHeight="true" outlineLevel="0" collapsed="false">
      <c r="A3" s="3" t="s">
        <v>157</v>
      </c>
      <c r="B3" s="3" t="s">
        <v>158</v>
      </c>
      <c r="C3" s="3" t="s">
        <v>159</v>
      </c>
    </row>
    <row r="4" customFormat="false" ht="39.75" hidden="false" customHeight="true" outlineLevel="0" collapsed="false">
      <c r="A4" s="4" t="s">
        <v>160</v>
      </c>
      <c r="B4" s="20" t="s">
        <v>161</v>
      </c>
      <c r="C4" s="21" t="s">
        <v>162</v>
      </c>
    </row>
    <row r="5" customFormat="false" ht="39.75" hidden="false" customHeight="true" outlineLevel="0" collapsed="false">
      <c r="A5" s="11" t="s">
        <v>163</v>
      </c>
      <c r="B5" s="20" t="s">
        <v>164</v>
      </c>
      <c r="C5" s="21" t="s">
        <v>165</v>
      </c>
    </row>
    <row r="6" customFormat="false" ht="39.75" hidden="false" customHeight="true" outlineLevel="0" collapsed="false">
      <c r="A6" s="18" t="s">
        <v>166</v>
      </c>
      <c r="B6" s="20" t="s">
        <v>167</v>
      </c>
      <c r="C6" s="21" t="s">
        <v>168</v>
      </c>
    </row>
    <row r="7" customFormat="false" ht="39.75" hidden="false" customHeight="true" outlineLevel="0" collapsed="false">
      <c r="A7" s="19" t="s">
        <v>169</v>
      </c>
      <c r="B7" s="20" t="s">
        <v>170</v>
      </c>
      <c r="C7" s="21" t="s">
        <v>171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36" hidden="false" customHeight="true" outlineLevel="0" collapsed="false">
      <c r="A1" s="1" t="s">
        <v>172</v>
      </c>
      <c r="B1" s="1"/>
      <c r="C1" s="1"/>
    </row>
    <row r="3" customFormat="false" ht="31.5" hidden="false" customHeight="true" outlineLevel="0" collapsed="false">
      <c r="A3" s="3" t="s">
        <v>5</v>
      </c>
      <c r="B3" s="3" t="s">
        <v>173</v>
      </c>
      <c r="C3" s="3" t="s">
        <v>174</v>
      </c>
    </row>
    <row r="4" customFormat="false" ht="25.5" hidden="false" customHeight="true" outlineLevel="0" collapsed="false">
      <c r="A4" s="22" t="s">
        <v>66</v>
      </c>
      <c r="B4" s="23" t="n">
        <v>8</v>
      </c>
      <c r="C4" s="24" t="n">
        <f aca="false">B4/SUM($B$4:$B$16)</f>
        <v>0.205128205128205</v>
      </c>
    </row>
    <row r="5" customFormat="false" ht="25.5" hidden="false" customHeight="true" outlineLevel="0" collapsed="false">
      <c r="A5" s="22" t="s">
        <v>75</v>
      </c>
      <c r="B5" s="23" t="n">
        <v>8</v>
      </c>
      <c r="C5" s="24" t="n">
        <f aca="false">B5/SUM($B$4:$B$16)</f>
        <v>0.205128205128205</v>
      </c>
    </row>
    <row r="6" customFormat="false" ht="25.5" hidden="false" customHeight="true" outlineLevel="0" collapsed="false">
      <c r="A6" s="22" t="s">
        <v>28</v>
      </c>
      <c r="B6" s="23" t="n">
        <v>6</v>
      </c>
      <c r="C6" s="24" t="n">
        <f aca="false">B6/SUM($B$4:$B$16)</f>
        <v>0.153846153846154</v>
      </c>
    </row>
    <row r="7" customFormat="false" ht="25.5" hidden="false" customHeight="true" outlineLevel="0" collapsed="false">
      <c r="A7" s="22" t="s">
        <v>34</v>
      </c>
      <c r="B7" s="23" t="n">
        <v>3</v>
      </c>
      <c r="C7" s="24" t="n">
        <f aca="false">B7/SUM($B$4:$B$16)</f>
        <v>0.0769230769230769</v>
      </c>
    </row>
    <row r="8" customFormat="false" ht="25.5" hidden="false" customHeight="true" outlineLevel="0" collapsed="false">
      <c r="A8" s="22" t="s">
        <v>56</v>
      </c>
      <c r="B8" s="23" t="n">
        <v>3</v>
      </c>
      <c r="C8" s="24" t="n">
        <f aca="false">B8/SUM($B$4:$B$16)</f>
        <v>0.0769230769230769</v>
      </c>
    </row>
    <row r="9" customFormat="false" ht="25.5" hidden="false" customHeight="true" outlineLevel="0" collapsed="false">
      <c r="A9" s="22" t="s">
        <v>16</v>
      </c>
      <c r="B9" s="23" t="n">
        <v>2</v>
      </c>
      <c r="C9" s="24" t="n">
        <f aca="false">B9/SUM($B$4:$B$16)</f>
        <v>0.0512820512820513</v>
      </c>
    </row>
    <row r="10" customFormat="false" ht="25.5" hidden="false" customHeight="true" outlineLevel="0" collapsed="false">
      <c r="A10" s="22" t="s">
        <v>46</v>
      </c>
      <c r="B10" s="23" t="n">
        <v>2</v>
      </c>
      <c r="C10" s="24" t="n">
        <f aca="false">B10/SUM($B$4:$B$16)</f>
        <v>0.0512820512820513</v>
      </c>
    </row>
    <row r="11" customFormat="false" ht="25.5" hidden="false" customHeight="true" outlineLevel="0" collapsed="false">
      <c r="A11" s="22" t="s">
        <v>102</v>
      </c>
      <c r="B11" s="23" t="n">
        <v>2</v>
      </c>
      <c r="C11" s="24" t="n">
        <f aca="false">B11/SUM($B$4:$B$16)</f>
        <v>0.0512820512820513</v>
      </c>
    </row>
    <row r="12" customFormat="false" ht="25.5" hidden="false" customHeight="true" outlineLevel="0" collapsed="false">
      <c r="A12" s="22" t="s">
        <v>12</v>
      </c>
      <c r="B12" s="23" t="n">
        <v>1</v>
      </c>
      <c r="C12" s="24" t="n">
        <f aca="false">B12/SUM($B$4:$B$16)</f>
        <v>0.0256410256410256</v>
      </c>
    </row>
    <row r="13" customFormat="false" ht="25.5" hidden="false" customHeight="true" outlineLevel="0" collapsed="false">
      <c r="A13" s="22" t="s">
        <v>175</v>
      </c>
      <c r="B13" s="23" t="n">
        <v>1</v>
      </c>
      <c r="C13" s="24" t="n">
        <f aca="false">B13/SUM($B$4:$B$16)</f>
        <v>0.0256410256410256</v>
      </c>
    </row>
    <row r="14" customFormat="false" ht="25.5" hidden="false" customHeight="true" outlineLevel="0" collapsed="false">
      <c r="A14" s="22" t="s">
        <v>107</v>
      </c>
      <c r="B14" s="23" t="n">
        <v>1</v>
      </c>
      <c r="C14" s="24" t="n">
        <f aca="false">B14/SUM($B$4:$B$16)</f>
        <v>0.0256410256410256</v>
      </c>
    </row>
    <row r="15" customFormat="false" ht="25.5" hidden="false" customHeight="true" outlineLevel="0" collapsed="false">
      <c r="A15" s="22" t="s">
        <v>116</v>
      </c>
      <c r="B15" s="23" t="n">
        <v>1</v>
      </c>
      <c r="C15" s="24" t="n">
        <f aca="false">B15/SUM($B$4:$B$16)</f>
        <v>0.0256410256410256</v>
      </c>
    </row>
    <row r="16" customFormat="false" ht="25.5" hidden="false" customHeight="true" outlineLevel="0" collapsed="false">
      <c r="A16" s="22" t="s">
        <v>176</v>
      </c>
      <c r="B16" s="23" t="n">
        <v>1</v>
      </c>
      <c r="C16" s="24" t="n">
        <f aca="false">B16/SUM($B$4:$B$16)</f>
        <v>0.0256410256410256</v>
      </c>
    </row>
    <row r="17" customFormat="false" ht="15" hidden="false" customHeight="false" outlineLevel="0" collapsed="false">
      <c r="A17" s="25" t="s">
        <v>177</v>
      </c>
      <c r="B17" s="26" t="n">
        <f aca="false">SUM(B4:B16)</f>
        <v>39</v>
      </c>
      <c r="C17" s="27" t="n">
        <f aca="false">SUM(C4:C16)</f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2026-04-21T16:04:07Z</dcterms:created>
  <dc:creator>openpyxl</dc:creator>
  <dc:description/>
  <dc:language>en-US</dc:language>
  <cp:lastModifiedBy/>
  <dcterms:modified xsi:type="dcterms:W3CDTF">2026-04-21T16:04:07Z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