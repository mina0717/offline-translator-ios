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Platforms" sheetId="2" state="visible" r:id="rId4"/>
    <sheet name="KPIs" sheetId="3" state="visible" r:id="rId5"/>
    <sheet name="Post-Launch" sheetId="4" state="visible" r:id="rId6"/>
    <sheet name="Templ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<sst xmlns="http://schemas.openxmlformats.org/spreadsheetml/2006/main" count="353" uniqueCount="246">
  <si>
    <t xml:space="preserve">🚀 Day-1 Launch Schedule — Offline Translator v1.1</t>
  </si>
  <si>
    <t xml:space="preserve">2026-04-21 (Tue) · Taipei 🇹🇼 · @mina0717 · All times PT (UTC-7) + TPE (UTC+8)</t>
  </si>
  <si>
    <t xml:space="preserve">PT Time</t>
  </si>
  <si>
    <t xml:space="preserve">TPE Time</t>
  </si>
  <si>
    <t xml:space="preserve">Task</t>
  </si>
  <si>
    <t xml:space="preserve">Platform</t>
  </si>
  <si>
    <t xml:space="preserve">Status</t>
  </si>
  <si>
    <t xml:space="preserve">Link / Notes</t>
  </si>
  <si>
    <t xml:space="preserve">Done</t>
  </si>
  <si>
    <t xml:space="preserve">— Day -1 —  Final rehearsal</t>
  </si>
  <si>
    <t xml:space="preserve">18:00 PT</t>
  </si>
  <si>
    <t xml:space="preserve">09:00 TPE+1</t>
  </si>
  <si>
    <t xml:space="preserve">Final build archive + upload to App Store Connect</t>
  </si>
  <si>
    <t xml:space="preserve">App Store Connect</t>
  </si>
  <si>
    <t xml:space="preserve">Pending</t>
  </si>
  <si>
    <r>
      <rPr>
        <sz val="10"/>
        <color rgb="FF000000"/>
        <rFont val="Microsoft JhengHei"/>
        <family val="0"/>
        <charset val="1"/>
      </rPr>
      <t xml:space="preserve">Requires Mac; see Mac</t>
    </r>
    <r>
      <rPr>
        <sz val="10"/>
        <color rgb="FF000000"/>
        <rFont val="DejaVu Sans"/>
        <family val="2"/>
      </rPr>
      <t xml:space="preserve">測試與後續待辦</t>
    </r>
    <r>
      <rPr>
        <sz val="10"/>
        <color rgb="FF000000"/>
        <rFont val="Microsoft JhengHei"/>
        <family val="0"/>
        <charset val="1"/>
      </rPr>
      <t xml:space="preserve">.docx</t>
    </r>
  </si>
  <si>
    <t xml:space="preserve">☐</t>
  </si>
  <si>
    <t xml:space="preserve">20:00 PT</t>
  </si>
  <si>
    <t xml:space="preserve">11:00 TPE+1</t>
  </si>
  <si>
    <t xml:space="preserve">Schedule Product Hunt post (draft saved)</t>
  </si>
  <si>
    <t xml:space="preserve">Product Hunt</t>
  </si>
  <si>
    <t xml:space="preserve">Use PRESS_KIT.md quotes</t>
  </si>
  <si>
    <t xml:space="preserve">22:00 PT</t>
  </si>
  <si>
    <t xml:space="preserve">13:00 TPE+1</t>
  </si>
  <si>
    <t xml:space="preserve">Draft all IG/Threads/X posts in Notion/Notes</t>
  </si>
  <si>
    <t xml:space="preserve">Social</t>
  </si>
  <si>
    <t xml:space="preserve">Pull from ig-cards/ + BLOG_POST</t>
  </si>
  <si>
    <t xml:space="preserve">23:00 PT</t>
  </si>
  <si>
    <t xml:space="preserve">14:00 TPE+1</t>
  </si>
  <si>
    <t xml:space="preserve">Sleep (seriously)</t>
  </si>
  <si>
    <t xml:space="preserve">—</t>
  </si>
  <si>
    <t xml:space="preserve">Day-1 is long</t>
  </si>
  <si>
    <t xml:space="preserve">— Day 0 —  Launch day</t>
  </si>
  <si>
    <t xml:space="preserve">00:01 PT</t>
  </si>
  <si>
    <t xml:space="preserve">15:01 TPE</t>
  </si>
  <si>
    <t xml:space="preserve">Product Hunt post goes live</t>
  </si>
  <si>
    <t xml:space="preserve">https://producthunt.com/posts/TBD</t>
  </si>
  <si>
    <t xml:space="preserve">00:05 PT</t>
  </si>
  <si>
    <t xml:space="preserve">15:05 TPE</t>
  </si>
  <si>
    <t xml:space="preserve">Tweet launch thread (9 tweets)</t>
  </si>
  <si>
    <t xml:space="preserve">X/Twitter</t>
  </si>
  <si>
    <t xml:space="preserve">Include App Store link + landing page</t>
  </si>
  <si>
    <t xml:space="preserve">00:10 PT</t>
  </si>
  <si>
    <t xml:space="preserve">15:10 TPE</t>
  </si>
  <si>
    <t xml:space="preserve">Post IG carousel (5 cards)</t>
  </si>
  <si>
    <t xml:space="preserve">Instagram</t>
  </si>
  <si>
    <t xml:space="preserve">ig-cards/01-cover → 05-cta</t>
  </si>
  <si>
    <t xml:space="preserve">00:15 PT</t>
  </si>
  <si>
    <t xml:space="preserve">15:15 TPE</t>
  </si>
  <si>
    <t xml:space="preserve">Threads launch post</t>
  </si>
  <si>
    <t xml:space="preserve">Threads</t>
  </si>
  <si>
    <t xml:space="preserve">Reuse tweet #1 + IG card 01</t>
  </si>
  <si>
    <t xml:space="preserve">00:20 PT</t>
  </si>
  <si>
    <t xml:space="preserve">15:20 TPE</t>
  </si>
  <si>
    <t xml:space="preserve">LinkedIn post (personal + detailed)</t>
  </si>
  <si>
    <t xml:space="preserve">LinkedIn</t>
  </si>
  <si>
    <t xml:space="preserve">Use blog post excerpt</t>
  </si>
  <si>
    <t xml:space="preserve">00:30 PT</t>
  </si>
  <si>
    <t xml:space="preserve">15:30 TPE</t>
  </si>
  <si>
    <t xml:space="preserve">Hacker News Show HN post</t>
  </si>
  <si>
    <t xml:space="preserve">Hacker News</t>
  </si>
  <si>
    <t xml:space="preserve">'Show HN: Offline Translator — iOS, zero analytics'</t>
  </si>
  <si>
    <t xml:space="preserve">01:00 PT</t>
  </si>
  <si>
    <t xml:space="preserve">16:00 TPE</t>
  </si>
  <si>
    <t xml:space="preserve">Reddit r/iOS + r/privacy posts</t>
  </si>
  <si>
    <t xml:space="preserve">Reddit</t>
  </si>
  <si>
    <t xml:space="preserve">Subreddits: r/iOS, r/privacy, r/Taiwanese</t>
  </si>
  <si>
    <t xml:space="preserve">02:00 PT</t>
  </si>
  <si>
    <t xml:space="preserve">17:00 TPE</t>
  </si>
  <si>
    <t xml:space="preserve">First KPI check — PH rank, HN position</t>
  </si>
  <si>
    <t xml:space="preserve">Monitoring</t>
  </si>
  <si>
    <t xml:space="preserve">Screenshot for postmortem</t>
  </si>
  <si>
    <t xml:space="preserve">04:00 PT</t>
  </si>
  <si>
    <t xml:space="preserve">19:00 TPE</t>
  </si>
  <si>
    <t xml:space="preserve">Reply to PH comments (batch 1)</t>
  </si>
  <si>
    <t xml:space="preserve">Use FAQ from PRESS_KIT</t>
  </si>
  <si>
    <t xml:space="preserve">06:00 PT</t>
  </si>
  <si>
    <t xml:space="preserve">21:00 TPE</t>
  </si>
  <si>
    <t xml:space="preserve">Email press kit to 10 journalists</t>
  </si>
  <si>
    <t xml:space="preserve">Press outreach</t>
  </si>
  <si>
    <t xml:space="preserve">See press list in Notion</t>
  </si>
  <si>
    <t xml:space="preserve">08:00 PT</t>
  </si>
  <si>
    <t xml:space="preserve">23:00 TPE</t>
  </si>
  <si>
    <t xml:space="preserve">Check Apple Search Ads impressions</t>
  </si>
  <si>
    <t xml:space="preserve">App Store</t>
  </si>
  <si>
    <t xml:space="preserve">Verify keywords live</t>
  </si>
  <si>
    <t xml:space="preserve">10:00 PT</t>
  </si>
  <si>
    <t xml:space="preserve">01:00 TPE+1</t>
  </si>
  <si>
    <t xml:space="preserve">Mid-day KPI snapshot</t>
  </si>
  <si>
    <t xml:space="preserve">Downloads, PH rank, HN, GitHub stars</t>
  </si>
  <si>
    <t xml:space="preserve">12:00 PT</t>
  </si>
  <si>
    <t xml:space="preserve">03:00 TPE+1</t>
  </si>
  <si>
    <t xml:space="preserve">Second X/Twitter post (follow-up)</t>
  </si>
  <si>
    <t xml:space="preserve">Highlight metric or testimonial</t>
  </si>
  <si>
    <t xml:space="preserve">14:00 PT</t>
  </si>
  <si>
    <t xml:space="preserve">05:00 TPE+1</t>
  </si>
  <si>
    <t xml:space="preserve">Reply to Twitter/X replies (batch)</t>
  </si>
  <si>
    <t xml:space="preserve">Personal responses only</t>
  </si>
  <si>
    <t xml:space="preserve">16:00 PT</t>
  </si>
  <si>
    <t xml:space="preserve">07:00 TPE+1</t>
  </si>
  <si>
    <t xml:space="preserve">Check Product Hunt — top 10?</t>
  </si>
  <si>
    <t xml:space="preserve">If top 5, push harder; if not, analyze</t>
  </si>
  <si>
    <t xml:space="preserve">LinkedIn follow-up + engagement</t>
  </si>
  <si>
    <t xml:space="preserve">Reply to comments, DMs</t>
  </si>
  <si>
    <t xml:space="preserve">Final Day-1 KPI tally + screenshot</t>
  </si>
  <si>
    <t xml:space="preserve">Save to postmortem doc</t>
  </si>
  <si>
    <t xml:space="preserve">Thank-you post across all channels</t>
  </si>
  <si>
    <t xml:space="preserve">Template: '24h recap + gratitude'</t>
  </si>
  <si>
    <t xml:space="preserve">23:59 PT</t>
  </si>
  <si>
    <t xml:space="preserve">14:59 TPE+1</t>
  </si>
  <si>
    <t xml:space="preserve">Day-1 closed. Sleep.</t>
  </si>
  <si>
    <t xml:space="preserve">Day-2 follow-up tomorrow</t>
  </si>
  <si>
    <t xml:space="preserve">📣 Platform Tracker</t>
  </si>
  <si>
    <t xml:space="preserve">URL</t>
  </si>
  <si>
    <t xml:space="preserve">Asset to use</t>
  </si>
  <si>
    <t xml:space="preserve">KPI (Day 1 target)</t>
  </si>
  <si>
    <t xml:space="preserve">Actual</t>
  </si>
  <si>
    <t xml:space="preserve">Notes</t>
  </si>
  <si>
    <t xml:space="preserve">TBD post-launch</t>
  </si>
  <si>
    <t xml:space="preserve">PRESS_KIT quotes + app icon</t>
  </si>
  <si>
    <t xml:space="preserve">Top 10 daily · 200+ upvotes</t>
  </si>
  <si>
    <t xml:space="preserve">Primary driver Day-1</t>
  </si>
  <si>
    <t xml:space="preserve">X / Twitter</t>
  </si>
  <si>
    <t xml:space="preserve">https://twitter.com/mina0717</t>
  </si>
  <si>
    <t xml:space="preserve">9-tweet launch thread + IG card 01</t>
  </si>
  <si>
    <t xml:space="preserve">50K impressions · 200 retweets</t>
  </si>
  <si>
    <t xml:space="preserve">Use threadreaderapp pin</t>
  </si>
  <si>
    <t xml:space="preserve">https://instagram.com/mina0717</t>
  </si>
  <si>
    <t xml:space="preserve">ig-cards/01-05 carousel</t>
  </si>
  <si>
    <t xml:space="preserve">500 likes · 30 saves</t>
  </si>
  <si>
    <t xml:space="preserve">Post at 15:00 TPE</t>
  </si>
  <si>
    <t xml:space="preserve">https://threads.net/@mina0717</t>
  </si>
  <si>
    <t xml:space="preserve">Reuse tweet #1 + cover image</t>
  </si>
  <si>
    <t xml:space="preserve">200 likes</t>
  </si>
  <si>
    <t xml:space="preserve">Link in bio update</t>
  </si>
  <si>
    <t xml:space="preserve">https://linkedin.com/in/TBD</t>
  </si>
  <si>
    <t xml:space="preserve">Blog post excerpt + 01-hero.png</t>
  </si>
  <si>
    <t xml:space="preserve">20 reactions · 5 comments</t>
  </si>
  <si>
    <t xml:space="preserve">Professional tone</t>
  </si>
  <si>
    <t xml:space="preserve">https://news.ycombinator.com</t>
  </si>
  <si>
    <t xml:space="preserve">'Show HN: Offline Translator — iOS, zero data collection'</t>
  </si>
  <si>
    <t xml:space="preserve">Front page · 50 points</t>
  </si>
  <si>
    <t xml:space="preserve">Post 00:30 PT (HN prime time)</t>
  </si>
  <si>
    <t xml:space="preserve">Reddit r/iOS</t>
  </si>
  <si>
    <t xml:space="preserve">https://reddit.com/r/iOS</t>
  </si>
  <si>
    <t xml:space="preserve">Title: 'I built an offline translator...'</t>
  </si>
  <si>
    <t xml:space="preserve">100 upvotes</t>
  </si>
  <si>
    <t xml:space="preserve">Follow subreddit rules</t>
  </si>
  <si>
    <t xml:space="preserve">Reddit r/privacy</t>
  </si>
  <si>
    <t xml:space="preserve">https://reddit.com/r/privacy</t>
  </si>
  <si>
    <t xml:space="preserve">Focus on zero-analytics angle</t>
  </si>
  <si>
    <t xml:space="preserve">50 upvotes</t>
  </si>
  <si>
    <t xml:space="preserve">No self-promo flag</t>
  </si>
  <si>
    <t xml:space="preserve">TBD post-approval</t>
  </si>
  <si>
    <t xml:space="preserve">Screenshots 01-05 + what's new CN+EN</t>
  </si>
  <si>
    <t xml:space="preserve">Featured in Utilities</t>
  </si>
  <si>
    <t xml:space="preserve">Check search rank</t>
  </si>
  <si>
    <t xml:space="preserve">GitHub</t>
  </si>
  <si>
    <t xml:space="preserve">https://github.com/mina0717/offline-translator-ios</t>
  </si>
  <si>
    <t xml:space="preserve">README + CHANGELOG + blog link</t>
  </si>
  <si>
    <t xml:space="preserve">100 stars Day-1</t>
  </si>
  <si>
    <t xml:space="preserve">Pin repo</t>
  </si>
  <si>
    <t xml:space="preserve">📊 Day-1 KPI Tracker</t>
  </si>
  <si>
    <t xml:space="preserve">Refresh every 2 hours. Formulas auto-calculate % of target.</t>
  </si>
  <si>
    <t xml:space="preserve">Metric</t>
  </si>
  <si>
    <t xml:space="preserve">Target</t>
  </si>
  <si>
    <t xml:space="preserve">% of target</t>
  </si>
  <si>
    <t xml:space="preserve">App Store downloads</t>
  </si>
  <si>
    <t xml:space="preserve">Product Hunt upvotes</t>
  </si>
  <si>
    <t xml:space="preserve">Product Hunt rank (daily)</t>
  </si>
  <si>
    <t xml:space="preserve">X impressions</t>
  </si>
  <si>
    <t xml:space="preserve">X retweets</t>
  </si>
  <si>
    <t xml:space="preserve">X new followers</t>
  </si>
  <si>
    <t xml:space="preserve">IG likes (carousel)</t>
  </si>
  <si>
    <t xml:space="preserve">IG saves</t>
  </si>
  <si>
    <t xml:space="preserve">HN front page time (min)</t>
  </si>
  <si>
    <t xml:space="preserve">HN points</t>
  </si>
  <si>
    <t xml:space="preserve">Reddit r/iOS upvotes</t>
  </si>
  <si>
    <t xml:space="preserve">Reddit r/privacy upvotes</t>
  </si>
  <si>
    <t xml:space="preserve">GitHub stars</t>
  </si>
  <si>
    <t xml:space="preserve">Landing page visits</t>
  </si>
  <si>
    <t xml:space="preserve">Privacy policy clicks</t>
  </si>
  <si>
    <t xml:space="preserve">AVG % of target</t>
  </si>
  <si>
    <t xml:space="preserve">📅 Post-Launch — Day 2-7 Follow-ups</t>
  </si>
  <si>
    <t xml:space="preserve">Day</t>
  </si>
  <si>
    <t xml:space="preserve">Date</t>
  </si>
  <si>
    <t xml:space="preserve">Platform / Target</t>
  </si>
  <si>
    <t xml:space="preserve">Day 2</t>
  </si>
  <si>
    <t xml:space="preserve">2026-04-22</t>
  </si>
  <si>
    <t xml:space="preserve">Write postmortem / 'Day 1 recap' blog post</t>
  </si>
  <si>
    <t xml:space="preserve">Blog + X thread</t>
  </si>
  <si>
    <t xml:space="preserve">Reply to all Day-1 comments / DMs</t>
  </si>
  <si>
    <t xml:space="preserve">All platforms</t>
  </si>
  <si>
    <t xml:space="preserve">Send thank-you DM to top 10 PH upvoters</t>
  </si>
  <si>
    <t xml:space="preserve">Day 3</t>
  </si>
  <si>
    <t xml:space="preserve">2026-04-23</t>
  </si>
  <si>
    <t xml:space="preserve">Feature email campaign to newsletter list</t>
  </si>
  <si>
    <t xml:space="preserve">Email</t>
  </si>
  <si>
    <t xml:space="preserve">Update landing page with 'As featured on...' badges</t>
  </si>
  <si>
    <t xml:space="preserve">Landing page</t>
  </si>
  <si>
    <t xml:space="preserve">Publish user testimonials on Threads/X</t>
  </si>
  <si>
    <t xml:space="preserve">Day 4</t>
  </si>
  <si>
    <t xml:space="preserve">2026-04-24</t>
  </si>
  <si>
    <t xml:space="preserve">Apple Search Ads: optimize keywords from Day-1 data</t>
  </si>
  <si>
    <t xml:space="preserve">Submit to /r/Taiwanese, /r/apple, /r/Japan (travelers)</t>
  </si>
  <si>
    <t xml:space="preserve">Day 5</t>
  </si>
  <si>
    <t xml:space="preserve">2026-04-25</t>
  </si>
  <si>
    <t xml:space="preserve">Record 60-sec demo video for YouTube Shorts</t>
  </si>
  <si>
    <t xml:space="preserve">YouTube</t>
  </si>
  <si>
    <t xml:space="preserve">Pitch to tech bloggers (Chinese + EN, 5 outlets)</t>
  </si>
  <si>
    <t xml:space="preserve">Day 6</t>
  </si>
  <si>
    <t xml:space="preserve">2026-04-26</t>
  </si>
  <si>
    <t xml:space="preserve">Review crash reports + user feedback</t>
  </si>
  <si>
    <t xml:space="preserve">Dev</t>
  </si>
  <si>
    <t xml:space="preserve">Plan v1.2 feature list based on requests</t>
  </si>
  <si>
    <t xml:space="preserve">Roadmap</t>
  </si>
  <si>
    <t xml:space="preserve">Day 7</t>
  </si>
  <si>
    <t xml:space="preserve">2026-04-27</t>
  </si>
  <si>
    <t xml:space="preserve">'Week 1 numbers' transparency post</t>
  </si>
  <si>
    <t xml:space="preserve">Blog + Threads</t>
  </si>
  <si>
    <t xml:space="preserve">Weekly retrospective — what worked, what didn't</t>
  </si>
  <si>
    <t xml:space="preserve">Internal</t>
  </si>
  <si>
    <t xml:space="preserve">💬 Quick Response Templates</t>
  </si>
  <si>
    <t xml:space="preserve">Copy + paste for rapid replies. Personalize before sending.</t>
  </si>
  <si>
    <t xml:space="preserve">Scenario</t>
  </si>
  <si>
    <t xml:space="preserve">Template</t>
  </si>
  <si>
    <t xml:space="preserve">PH: 'How is it free?'</t>
  </si>
  <si>
    <t xml:space="preserve">No servers, no analytics, no ads = no costs to cover. Translation runs on your iPhone. The only cost is my time, and shipping this felt worth it. 🫶</t>
  </si>
  <si>
    <t xml:space="preserve">PH: 'Is it really offline?'</t>
  </si>
  <si>
    <t xml:space="preserve">Yes — try airplane mode before opening. Apple's Translation framework (iOS 17.4+) does on-device translation after a one-time language-pack download. Source is MIT: https://github.com/mina0717/offline-translator-ios</t>
  </si>
  <si>
    <t xml:space="preserve">X: Feature request reply</t>
  </si>
  <si>
    <t xml:space="preserve">Love this idea — noting it for v1.2. If you're curious I keep the roadmap at [GitHub link]. Thanks for trying it 🙏</t>
  </si>
  <si>
    <t xml:space="preserve">X: Bug report reply</t>
  </si>
  <si>
    <t xml:space="preserve">Sorry about that — can you file it at https://github.com/mina0717/offline-translator-ios/issues? Include iOS version + device model. I'll ship a fix ASAP.</t>
  </si>
  <si>
    <t xml:space="preserve">IG DM: 'How does it compare to Google Translate?'</t>
  </si>
  <si>
    <t xml:space="preserve">Google Translate is more languages + better on literary text. Offline Translator wins on: privacy (zero data), offline-first, integrated OCR+voice+dictionary in one app. Different tradeoffs.</t>
  </si>
  <si>
    <t xml:space="preserve">Reddit: skepticism reply</t>
  </si>
  <si>
    <t xml:space="preserve">Fair question. The repo is MIT: [link]. Search for 'URLSession' in translation code — zero results. PrivacyInfo.xcprivacy declares empty arrays. Turn on airplane mode and it still works.</t>
  </si>
  <si>
    <t xml:space="preserve">HN: technical detail</t>
  </si>
  <si>
    <t xml:space="preserve">Built with SwiftUI + Apple Translation framework + Vision + SFSpeechRecognizer. MLKit as fallback for iOS 17.0-17.3. Dictionary is 170K words in Core Data. ~85 MB IPA.</t>
  </si>
  <si>
    <t xml:space="preserve">Press: interview request</t>
  </si>
  <si>
    <t xml:space="preserve">Thanks for reaching out! Happy to chat. Best over email (mina0717@proton.me) or Twitter DM. Press kit here: [PRESS_KIT.md link]. Available all week.</t>
  </si>
  <si>
    <t xml:space="preserve">User: 'I love it, how can I support you?'</t>
  </si>
  <si>
    <t xml:space="preserve">⭐ star on GitHub, leave a review on the App Store, and tell one friend. That's genuinely all — there's no donate button and I don't want one.</t>
  </si>
  <si>
    <t xml:space="preserve">Negative: 'Translation quality is weak'</t>
  </si>
  <si>
    <t xml:space="preserve">Fair — Apple's Translation framework is tuned for everyday phrases, not literary/technical precision. For complex work, DeepL/Google are stronger. The app is meant for travel, messages, menus, quick lookups.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</si>
</sst>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Microsoft JhengHei"/>
      <family val="0"/>
      <charset val="1"/>
    </font>
    <font>
      <sz val="10"/>
      <color rgb="FF6E6E73"/>
      <name val="Microsoft JhengHei"/>
      <family val="0"/>
      <charset val="1"/>
    </font>
    <font>
      <b val="true"/>
      <sz val="11"/>
      <color rgb="FFFFFFFF"/>
      <name val="Microsoft JhengHei"/>
      <family val="0"/>
      <charset val="1"/>
    </font>
    <font>
      <b val="true"/>
      <sz val="11"/>
      <color rgb="FF0B1438"/>
      <name val="Microsoft JhengHei"/>
      <family val="0"/>
      <charset val="1"/>
    </font>
    <font>
      <b val="true"/>
      <sz val="9"/>
      <color rgb="FF0B1438"/>
      <name val="Microsoft JhengHei"/>
      <family val="0"/>
      <charset val="1"/>
    </font>
    <font>
      <sz val="10"/>
      <color rgb="FF000000"/>
      <name val="Microsoft JhengHei"/>
      <family val="0"/>
      <charset val="1"/>
    </font>
    <font>
      <b val="true"/>
      <sz val="9"/>
      <color rgb="FFFF6B6B"/>
      <name val="Microsoft JhengHei"/>
      <family val="0"/>
      <charset val="1"/>
    </font>
    <font>
      <sz val="10"/>
      <color rgb="FF000000"/>
      <name val="DejaVu Sans"/>
      <family val="2"/>
    </font>
    <font>
      <b val="true"/>
      <sz val="12"/>
      <color rgb="FF6E6E73"/>
      <name val="Microsoft JhengHei"/>
      <family val="0"/>
      <charset val="1"/>
    </font>
    <font>
      <b val="true"/>
      <sz val="10"/>
      <color rgb="FF0B1438"/>
      <name val="Microsoft JhengHei"/>
      <family val="0"/>
      <charset val="1"/>
    </font>
    <font>
      <sz val="9"/>
      <color rgb="FF000000"/>
      <name val="Microsoft JhengHei"/>
      <family val="0"/>
      <charset val="1"/>
    </font>
    <font>
      <sz val="9"/>
      <color rgb="FF0B1438"/>
      <name val="Microsoft JhengHei"/>
      <family val="0"/>
      <charset val="1"/>
    </font>
    <font>
      <b val="true"/>
      <sz val="10"/>
      <color rgb="FFFF6B6B"/>
      <name val="Microsoft JhengHei"/>
      <family val="0"/>
      <charset val="1"/>
    </font>
    <font>
      <sz val="9"/>
      <color rgb="FF6E6E73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b val="true"/>
      <sz val="10"/>
      <color rgb="FF000000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438"/>
        <bgColor rgb="FF000000"/>
      </patternFill>
    </fill>
    <fill>
      <patternFill patternType="solid">
        <fgColor rgb="FFF4F5F9"/>
        <bgColor rgb="FFFFFFFF"/>
      </patternFill>
    </fill>
    <fill>
      <patternFill patternType="solid">
        <fgColor rgb="FF5EE2D7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1D6"/>
      </left>
      <right/>
      <top style="thin">
        <color rgb="FFD1D1D6"/>
      </top>
      <bottom style="thin">
        <color rgb="FFD1D1D6"/>
      </bottom>
      <diagonal/>
    </border>
    <border diagonalUp="false" diagonalDown="false">
      <left style="thin">
        <color rgb="FFD1D1D6"/>
      </left>
      <right style="thin">
        <color rgb="FFD1D1D6"/>
      </right>
      <top style="thin">
        <color rgb="FFD1D1D6"/>
      </top>
      <bottom style="thin">
        <color rgb="FFD1D1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E5E5"/>
        </patternFill>
      </fill>
    </dxf>
    <dxf>
      <fill>
        <patternFill>
          <bgColor rgb="FFFFF5CC"/>
        </patternFill>
      </fill>
    </dxf>
    <dxf>
      <fill>
        <patternFill>
          <bgColor rgb="FFD4F4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F4F5F9"/>
      <rgbColor rgb="FF660066"/>
      <rgbColor rgb="FFFF6B6B"/>
      <rgbColor rgb="FF0066CC"/>
      <rgbColor rgb="FFD1D1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F4DD"/>
      <rgbColor rgb="FFFFFF99"/>
      <rgbColor rgb="FF99CCFF"/>
      <rgbColor rgb="FFFF99CC"/>
      <rgbColor rgb="FFCC99FF"/>
      <rgbColor rgb="FFFFE5E5"/>
      <rgbColor rgb="FF3366FF"/>
      <rgbColor rgb="FF5EE2D7"/>
      <rgbColor rgb="FF99CC00"/>
      <rgbColor rgb="FFFFCC00"/>
      <rgbColor rgb="FFFF9900"/>
      <rgbColor rgb="FFFF6600"/>
      <rgbColor rgb="FF6E6E73"/>
      <rgbColor rgb="FF969696"/>
      <rgbColor rgb="FF0B14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1.7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27.75" hidden="false" customHeight="true" outlineLevel="0" collapsed="false">
      <c r="A6" s="5" t="s">
        <v>10</v>
      </c>
      <c r="B6" s="5" t="s">
        <v>11</v>
      </c>
      <c r="C6" s="6" t="s">
        <v>12</v>
      </c>
      <c r="D6" s="6" t="s">
        <v>13</v>
      </c>
      <c r="E6" s="7" t="s">
        <v>14</v>
      </c>
      <c r="F6" s="6" t="s">
        <v>15</v>
      </c>
      <c r="G6" s="8" t="s">
        <v>16</v>
      </c>
    </row>
    <row r="7" customFormat="false" ht="27.75" hidden="false" customHeight="true" outlineLevel="0" collapsed="false">
      <c r="A7" s="5" t="s">
        <v>17</v>
      </c>
      <c r="B7" s="5" t="s">
        <v>18</v>
      </c>
      <c r="C7" s="6" t="s">
        <v>19</v>
      </c>
      <c r="D7" s="6" t="s">
        <v>20</v>
      </c>
      <c r="E7" s="7" t="s">
        <v>14</v>
      </c>
      <c r="F7" s="6" t="s">
        <v>21</v>
      </c>
      <c r="G7" s="8" t="s">
        <v>16</v>
      </c>
    </row>
    <row r="8" customFormat="false" ht="27.75" hidden="false" customHeight="true" outlineLevel="0" collapsed="false">
      <c r="A8" s="5" t="s">
        <v>22</v>
      </c>
      <c r="B8" s="5" t="s">
        <v>23</v>
      </c>
      <c r="C8" s="6" t="s">
        <v>24</v>
      </c>
      <c r="D8" s="6" t="s">
        <v>25</v>
      </c>
      <c r="E8" s="7" t="s">
        <v>14</v>
      </c>
      <c r="F8" s="6" t="s">
        <v>26</v>
      </c>
      <c r="G8" s="8" t="s">
        <v>16</v>
      </c>
    </row>
    <row r="9" customFormat="false" ht="27.75" hidden="false" customHeight="true" outlineLevel="0" collapsed="false">
      <c r="A9" s="5" t="s">
        <v>27</v>
      </c>
      <c r="B9" s="5" t="s">
        <v>28</v>
      </c>
      <c r="C9" s="6" t="s">
        <v>29</v>
      </c>
      <c r="D9" s="6" t="s">
        <v>30</v>
      </c>
      <c r="E9" s="7" t="s">
        <v>14</v>
      </c>
      <c r="F9" s="6" t="s">
        <v>31</v>
      </c>
      <c r="G9" s="8" t="s">
        <v>16</v>
      </c>
    </row>
    <row r="10" customFormat="false" ht="21.75" hidden="false" customHeight="true" outlineLevel="0" collapsed="false">
      <c r="A10" s="4" t="s">
        <v>32</v>
      </c>
      <c r="B10" s="4"/>
      <c r="C10" s="4"/>
      <c r="D10" s="4"/>
      <c r="E10" s="4"/>
      <c r="F10" s="4"/>
      <c r="G10" s="4"/>
    </row>
    <row r="11" customFormat="false" ht="27.75" hidden="false" customHeight="true" outlineLevel="0" collapsed="false">
      <c r="A11" s="5" t="s">
        <v>33</v>
      </c>
      <c r="B11" s="5" t="s">
        <v>34</v>
      </c>
      <c r="C11" s="6" t="s">
        <v>35</v>
      </c>
      <c r="D11" s="6" t="s">
        <v>20</v>
      </c>
      <c r="E11" s="7" t="s">
        <v>14</v>
      </c>
      <c r="F11" s="6" t="s">
        <v>36</v>
      </c>
      <c r="G11" s="8" t="s">
        <v>16</v>
      </c>
    </row>
    <row r="12" customFormat="false" ht="27.75" hidden="false" customHeight="true" outlineLevel="0" collapsed="false">
      <c r="A12" s="5" t="s">
        <v>37</v>
      </c>
      <c r="B12" s="5" t="s">
        <v>38</v>
      </c>
      <c r="C12" s="6" t="s">
        <v>39</v>
      </c>
      <c r="D12" s="6" t="s">
        <v>40</v>
      </c>
      <c r="E12" s="7" t="s">
        <v>14</v>
      </c>
      <c r="F12" s="6" t="s">
        <v>41</v>
      </c>
      <c r="G12" s="8" t="s">
        <v>16</v>
      </c>
    </row>
    <row r="13" customFormat="false" ht="27.75" hidden="false" customHeight="true" outlineLevel="0" collapsed="false">
      <c r="A13" s="5" t="s">
        <v>42</v>
      </c>
      <c r="B13" s="5" t="s">
        <v>43</v>
      </c>
      <c r="C13" s="6" t="s">
        <v>44</v>
      </c>
      <c r="D13" s="6" t="s">
        <v>45</v>
      </c>
      <c r="E13" s="7" t="s">
        <v>14</v>
      </c>
      <c r="F13" s="6" t="s">
        <v>46</v>
      </c>
      <c r="G13" s="8" t="s">
        <v>16</v>
      </c>
    </row>
    <row r="14" customFormat="false" ht="27.75" hidden="false" customHeight="true" outlineLevel="0" collapsed="false">
      <c r="A14" s="5" t="s">
        <v>47</v>
      </c>
      <c r="B14" s="5" t="s">
        <v>48</v>
      </c>
      <c r="C14" s="6" t="s">
        <v>49</v>
      </c>
      <c r="D14" s="6" t="s">
        <v>50</v>
      </c>
      <c r="E14" s="7" t="s">
        <v>14</v>
      </c>
      <c r="F14" s="6" t="s">
        <v>51</v>
      </c>
      <c r="G14" s="8" t="s">
        <v>16</v>
      </c>
    </row>
    <row r="15" customFormat="false" ht="27.75" hidden="false" customHeight="true" outlineLevel="0" collapsed="false">
      <c r="A15" s="5" t="s">
        <v>52</v>
      </c>
      <c r="B15" s="5" t="s">
        <v>53</v>
      </c>
      <c r="C15" s="6" t="s">
        <v>54</v>
      </c>
      <c r="D15" s="6" t="s">
        <v>55</v>
      </c>
      <c r="E15" s="7" t="s">
        <v>14</v>
      </c>
      <c r="F15" s="6" t="s">
        <v>56</v>
      </c>
      <c r="G15" s="8" t="s">
        <v>16</v>
      </c>
    </row>
    <row r="16" customFormat="false" ht="27.75" hidden="false" customHeight="true" outlineLevel="0" collapsed="false">
      <c r="A16" s="5" t="s">
        <v>57</v>
      </c>
      <c r="B16" s="5" t="s">
        <v>58</v>
      </c>
      <c r="C16" s="6" t="s">
        <v>59</v>
      </c>
      <c r="D16" s="6" t="s">
        <v>60</v>
      </c>
      <c r="E16" s="7" t="s">
        <v>14</v>
      </c>
      <c r="F16" s="6" t="s">
        <v>61</v>
      </c>
      <c r="G16" s="8" t="s">
        <v>16</v>
      </c>
    </row>
    <row r="17" customFormat="false" ht="27.75" hidden="false" customHeight="true" outlineLevel="0" collapsed="false">
      <c r="A17" s="5" t="s">
        <v>62</v>
      </c>
      <c r="B17" s="5" t="s">
        <v>63</v>
      </c>
      <c r="C17" s="6" t="s">
        <v>64</v>
      </c>
      <c r="D17" s="6" t="s">
        <v>65</v>
      </c>
      <c r="E17" s="7" t="s">
        <v>14</v>
      </c>
      <c r="F17" s="6" t="s">
        <v>66</v>
      </c>
      <c r="G17" s="8" t="s">
        <v>16</v>
      </c>
    </row>
    <row r="18" customFormat="false" ht="27.75" hidden="false" customHeight="true" outlineLevel="0" collapsed="false">
      <c r="A18" s="5" t="s">
        <v>67</v>
      </c>
      <c r="B18" s="5" t="s">
        <v>68</v>
      </c>
      <c r="C18" s="6" t="s">
        <v>69</v>
      </c>
      <c r="D18" s="6" t="s">
        <v>70</v>
      </c>
      <c r="E18" s="7" t="s">
        <v>14</v>
      </c>
      <c r="F18" s="6" t="s">
        <v>71</v>
      </c>
      <c r="G18" s="8" t="s">
        <v>16</v>
      </c>
    </row>
    <row r="19" customFormat="false" ht="27.75" hidden="false" customHeight="true" outlineLevel="0" collapsed="false">
      <c r="A19" s="5" t="s">
        <v>72</v>
      </c>
      <c r="B19" s="5" t="s">
        <v>73</v>
      </c>
      <c r="C19" s="6" t="s">
        <v>74</v>
      </c>
      <c r="D19" s="6" t="s">
        <v>20</v>
      </c>
      <c r="E19" s="7" t="s">
        <v>14</v>
      </c>
      <c r="F19" s="6" t="s">
        <v>75</v>
      </c>
      <c r="G19" s="8" t="s">
        <v>16</v>
      </c>
    </row>
    <row r="20" customFormat="false" ht="27.75" hidden="false" customHeight="true" outlineLevel="0" collapsed="false">
      <c r="A20" s="5" t="s">
        <v>76</v>
      </c>
      <c r="B20" s="5" t="s">
        <v>77</v>
      </c>
      <c r="C20" s="6" t="s">
        <v>78</v>
      </c>
      <c r="D20" s="6" t="s">
        <v>79</v>
      </c>
      <c r="E20" s="7" t="s">
        <v>14</v>
      </c>
      <c r="F20" s="6" t="s">
        <v>80</v>
      </c>
      <c r="G20" s="8" t="s">
        <v>16</v>
      </c>
    </row>
    <row r="21" customFormat="false" ht="27.75" hidden="false" customHeight="true" outlineLevel="0" collapsed="false">
      <c r="A21" s="5" t="s">
        <v>81</v>
      </c>
      <c r="B21" s="5" t="s">
        <v>82</v>
      </c>
      <c r="C21" s="6" t="s">
        <v>83</v>
      </c>
      <c r="D21" s="6" t="s">
        <v>84</v>
      </c>
      <c r="E21" s="7" t="s">
        <v>14</v>
      </c>
      <c r="F21" s="6" t="s">
        <v>85</v>
      </c>
      <c r="G21" s="8" t="s">
        <v>16</v>
      </c>
    </row>
    <row r="22" customFormat="false" ht="27.75" hidden="false" customHeight="true" outlineLevel="0" collapsed="false">
      <c r="A22" s="5" t="s">
        <v>86</v>
      </c>
      <c r="B22" s="5" t="s">
        <v>87</v>
      </c>
      <c r="C22" s="6" t="s">
        <v>88</v>
      </c>
      <c r="D22" s="6" t="s">
        <v>70</v>
      </c>
      <c r="E22" s="7" t="s">
        <v>14</v>
      </c>
      <c r="F22" s="6" t="s">
        <v>89</v>
      </c>
      <c r="G22" s="8" t="s">
        <v>16</v>
      </c>
    </row>
    <row r="23" customFormat="false" ht="27.75" hidden="false" customHeight="true" outlineLevel="0" collapsed="false">
      <c r="A23" s="5" t="s">
        <v>90</v>
      </c>
      <c r="B23" s="5" t="s">
        <v>91</v>
      </c>
      <c r="C23" s="6" t="s">
        <v>92</v>
      </c>
      <c r="D23" s="6" t="s">
        <v>40</v>
      </c>
      <c r="E23" s="7" t="s">
        <v>14</v>
      </c>
      <c r="F23" s="6" t="s">
        <v>93</v>
      </c>
      <c r="G23" s="8" t="s">
        <v>16</v>
      </c>
    </row>
    <row r="24" customFormat="false" ht="27.75" hidden="false" customHeight="true" outlineLevel="0" collapsed="false">
      <c r="A24" s="5" t="s">
        <v>94</v>
      </c>
      <c r="B24" s="5" t="s">
        <v>95</v>
      </c>
      <c r="C24" s="6" t="s">
        <v>96</v>
      </c>
      <c r="D24" s="6" t="s">
        <v>40</v>
      </c>
      <c r="E24" s="7" t="s">
        <v>14</v>
      </c>
      <c r="F24" s="6" t="s">
        <v>97</v>
      </c>
      <c r="G24" s="8" t="s">
        <v>16</v>
      </c>
    </row>
    <row r="25" customFormat="false" ht="27.75" hidden="false" customHeight="true" outlineLevel="0" collapsed="false">
      <c r="A25" s="5" t="s">
        <v>98</v>
      </c>
      <c r="B25" s="5" t="s">
        <v>99</v>
      </c>
      <c r="C25" s="6" t="s">
        <v>100</v>
      </c>
      <c r="D25" s="6" t="s">
        <v>20</v>
      </c>
      <c r="E25" s="7" t="s">
        <v>14</v>
      </c>
      <c r="F25" s="6" t="s">
        <v>101</v>
      </c>
      <c r="G25" s="8" t="s">
        <v>16</v>
      </c>
    </row>
    <row r="26" customFormat="false" ht="27.75" hidden="false" customHeight="true" outlineLevel="0" collapsed="false">
      <c r="A26" s="5" t="s">
        <v>10</v>
      </c>
      <c r="B26" s="5" t="s">
        <v>11</v>
      </c>
      <c r="C26" s="6" t="s">
        <v>102</v>
      </c>
      <c r="D26" s="6" t="s">
        <v>55</v>
      </c>
      <c r="E26" s="7" t="s">
        <v>14</v>
      </c>
      <c r="F26" s="6" t="s">
        <v>103</v>
      </c>
      <c r="G26" s="8" t="s">
        <v>16</v>
      </c>
    </row>
    <row r="27" customFormat="false" ht="27.75" hidden="false" customHeight="true" outlineLevel="0" collapsed="false">
      <c r="A27" s="5" t="s">
        <v>17</v>
      </c>
      <c r="B27" s="5" t="s">
        <v>18</v>
      </c>
      <c r="C27" s="6" t="s">
        <v>104</v>
      </c>
      <c r="D27" s="6" t="s">
        <v>70</v>
      </c>
      <c r="E27" s="7" t="s">
        <v>14</v>
      </c>
      <c r="F27" s="6" t="s">
        <v>105</v>
      </c>
      <c r="G27" s="8" t="s">
        <v>16</v>
      </c>
    </row>
    <row r="28" customFormat="false" ht="27.75" hidden="false" customHeight="true" outlineLevel="0" collapsed="false">
      <c r="A28" s="5" t="s">
        <v>22</v>
      </c>
      <c r="B28" s="5" t="s">
        <v>23</v>
      </c>
      <c r="C28" s="6" t="s">
        <v>106</v>
      </c>
      <c r="D28" s="6" t="s">
        <v>25</v>
      </c>
      <c r="E28" s="7" t="s">
        <v>14</v>
      </c>
      <c r="F28" s="6" t="s">
        <v>107</v>
      </c>
      <c r="G28" s="8" t="s">
        <v>16</v>
      </c>
    </row>
    <row r="29" customFormat="false" ht="27.75" hidden="false" customHeight="true" outlineLevel="0" collapsed="false">
      <c r="A29" s="5" t="s">
        <v>108</v>
      </c>
      <c r="B29" s="5" t="s">
        <v>109</v>
      </c>
      <c r="C29" s="6" t="s">
        <v>110</v>
      </c>
      <c r="D29" s="6" t="s">
        <v>30</v>
      </c>
      <c r="E29" s="7" t="s">
        <v>14</v>
      </c>
      <c r="F29" s="6" t="s">
        <v>111</v>
      </c>
      <c r="G29" s="8" t="s">
        <v>16</v>
      </c>
    </row>
  </sheetData>
  <mergeCells count="4">
    <mergeCell ref="A1:G1"/>
    <mergeCell ref="A2:G2"/>
    <mergeCell ref="A5:G5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112</v>
      </c>
      <c r="B1" s="1"/>
      <c r="C1" s="1"/>
      <c r="D1" s="1"/>
      <c r="E1" s="1"/>
      <c r="F1" s="1"/>
    </row>
    <row r="3" customFormat="false" ht="31.5" hidden="false" customHeight="true" outlineLevel="0" collapsed="false">
      <c r="A3" s="3" t="s">
        <v>5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</row>
    <row r="4" customFormat="false" ht="37.5" hidden="false" customHeight="true" outlineLevel="0" collapsed="false">
      <c r="A4" s="9" t="s">
        <v>20</v>
      </c>
      <c r="B4" s="10" t="s">
        <v>118</v>
      </c>
      <c r="C4" s="10" t="s">
        <v>119</v>
      </c>
      <c r="D4" s="11" t="s">
        <v>120</v>
      </c>
      <c r="E4" s="12"/>
      <c r="F4" s="10" t="s">
        <v>121</v>
      </c>
    </row>
    <row r="5" customFormat="false" ht="37.5" hidden="false" customHeight="true" outlineLevel="0" collapsed="false">
      <c r="A5" s="9" t="s">
        <v>122</v>
      </c>
      <c r="B5" s="10" t="s">
        <v>123</v>
      </c>
      <c r="C5" s="10" t="s">
        <v>124</v>
      </c>
      <c r="D5" s="11" t="s">
        <v>125</v>
      </c>
      <c r="E5" s="12"/>
      <c r="F5" s="10" t="s">
        <v>126</v>
      </c>
    </row>
    <row r="6" customFormat="false" ht="37.5" hidden="false" customHeight="true" outlineLevel="0" collapsed="false">
      <c r="A6" s="9" t="s">
        <v>45</v>
      </c>
      <c r="B6" s="10" t="s">
        <v>127</v>
      </c>
      <c r="C6" s="10" t="s">
        <v>128</v>
      </c>
      <c r="D6" s="11" t="s">
        <v>129</v>
      </c>
      <c r="E6" s="12"/>
      <c r="F6" s="10" t="s">
        <v>130</v>
      </c>
    </row>
    <row r="7" customFormat="false" ht="37.5" hidden="false" customHeight="true" outlineLevel="0" collapsed="false">
      <c r="A7" s="9" t="s">
        <v>50</v>
      </c>
      <c r="B7" s="10" t="s">
        <v>131</v>
      </c>
      <c r="C7" s="10" t="s">
        <v>132</v>
      </c>
      <c r="D7" s="11" t="s">
        <v>133</v>
      </c>
      <c r="E7" s="12"/>
      <c r="F7" s="10" t="s">
        <v>134</v>
      </c>
    </row>
    <row r="8" customFormat="false" ht="37.5" hidden="false" customHeight="true" outlineLevel="0" collapsed="false">
      <c r="A8" s="9" t="s">
        <v>55</v>
      </c>
      <c r="B8" s="10" t="s">
        <v>135</v>
      </c>
      <c r="C8" s="10" t="s">
        <v>136</v>
      </c>
      <c r="D8" s="11" t="s">
        <v>137</v>
      </c>
      <c r="E8" s="12"/>
      <c r="F8" s="10" t="s">
        <v>138</v>
      </c>
    </row>
    <row r="9" customFormat="false" ht="37.5" hidden="false" customHeight="true" outlineLevel="0" collapsed="false">
      <c r="A9" s="9" t="s">
        <v>60</v>
      </c>
      <c r="B9" s="10" t="s">
        <v>139</v>
      </c>
      <c r="C9" s="10" t="s">
        <v>140</v>
      </c>
      <c r="D9" s="11" t="s">
        <v>141</v>
      </c>
      <c r="E9" s="12"/>
      <c r="F9" s="10" t="s">
        <v>142</v>
      </c>
    </row>
    <row r="10" customFormat="false" ht="37.5" hidden="false" customHeight="true" outlineLevel="0" collapsed="false">
      <c r="A10" s="9" t="s">
        <v>143</v>
      </c>
      <c r="B10" s="10" t="s">
        <v>144</v>
      </c>
      <c r="C10" s="10" t="s">
        <v>145</v>
      </c>
      <c r="D10" s="11" t="s">
        <v>146</v>
      </c>
      <c r="E10" s="12"/>
      <c r="F10" s="10" t="s">
        <v>147</v>
      </c>
    </row>
    <row r="11" customFormat="false" ht="37.5" hidden="false" customHeight="true" outlineLevel="0" collapsed="false">
      <c r="A11" s="9" t="s">
        <v>148</v>
      </c>
      <c r="B11" s="10" t="s">
        <v>149</v>
      </c>
      <c r="C11" s="10" t="s">
        <v>150</v>
      </c>
      <c r="D11" s="11" t="s">
        <v>151</v>
      </c>
      <c r="E11" s="12"/>
      <c r="F11" s="10" t="s">
        <v>152</v>
      </c>
    </row>
    <row r="12" customFormat="false" ht="37.5" hidden="false" customHeight="true" outlineLevel="0" collapsed="false">
      <c r="A12" s="9" t="s">
        <v>84</v>
      </c>
      <c r="B12" s="10" t="s">
        <v>153</v>
      </c>
      <c r="C12" s="10" t="s">
        <v>154</v>
      </c>
      <c r="D12" s="11" t="s">
        <v>155</v>
      </c>
      <c r="E12" s="12"/>
      <c r="F12" s="10" t="s">
        <v>156</v>
      </c>
    </row>
    <row r="13" customFormat="false" ht="37.5" hidden="false" customHeight="true" outlineLevel="0" collapsed="false">
      <c r="A13" s="9" t="s">
        <v>157</v>
      </c>
      <c r="B13" s="10" t="s">
        <v>158</v>
      </c>
      <c r="C13" s="10" t="s">
        <v>159</v>
      </c>
      <c r="D13" s="11" t="s">
        <v>160</v>
      </c>
      <c r="E13" s="12"/>
      <c r="F13" s="10" t="s">
        <v>161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162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13" t="s">
        <v>163</v>
      </c>
      <c r="B2" s="13"/>
      <c r="C2" s="13"/>
      <c r="D2" s="13"/>
      <c r="E2" s="13"/>
      <c r="F2" s="13"/>
    </row>
    <row r="4" customFormat="false" ht="31.5" hidden="false" customHeight="true" outlineLevel="0" collapsed="false">
      <c r="A4" s="3" t="s">
        <v>164</v>
      </c>
      <c r="B4" s="3" t="s">
        <v>165</v>
      </c>
      <c r="C4" s="3" t="s">
        <v>67</v>
      </c>
      <c r="D4" s="3" t="s">
        <v>86</v>
      </c>
      <c r="E4" s="3" t="s">
        <v>17</v>
      </c>
      <c r="F4" s="3" t="s">
        <v>166</v>
      </c>
    </row>
    <row r="5" customFormat="false" ht="25.5" hidden="false" customHeight="true" outlineLevel="0" collapsed="false">
      <c r="A5" s="9" t="s">
        <v>167</v>
      </c>
      <c r="B5" s="14" t="n">
        <v>1000</v>
      </c>
      <c r="C5" s="15" t="n">
        <v>0</v>
      </c>
      <c r="D5" s="15" t="n">
        <v>0</v>
      </c>
      <c r="E5" s="15" t="n">
        <v>0</v>
      </c>
      <c r="F5" s="16" t="n">
        <f aca="false">IFERROR(E5/B5, 0)</f>
        <v>0</v>
      </c>
    </row>
    <row r="6" customFormat="false" ht="25.5" hidden="false" customHeight="true" outlineLevel="0" collapsed="false">
      <c r="A6" s="9" t="s">
        <v>168</v>
      </c>
      <c r="B6" s="14" t="n">
        <v>200</v>
      </c>
      <c r="C6" s="15" t="n">
        <v>0</v>
      </c>
      <c r="D6" s="15" t="n">
        <v>0</v>
      </c>
      <c r="E6" s="15" t="n">
        <v>0</v>
      </c>
      <c r="F6" s="16" t="n">
        <f aca="false">IFERROR(E6/B6, 0)</f>
        <v>0</v>
      </c>
    </row>
    <row r="7" customFormat="false" ht="25.5" hidden="false" customHeight="true" outlineLevel="0" collapsed="false">
      <c r="A7" s="9" t="s">
        <v>169</v>
      </c>
      <c r="B7" s="14" t="n">
        <v>10</v>
      </c>
      <c r="C7" s="15" t="n">
        <v>0</v>
      </c>
      <c r="D7" s="15" t="n">
        <v>0</v>
      </c>
      <c r="E7" s="15" t="n">
        <v>0</v>
      </c>
      <c r="F7" s="16" t="n">
        <f aca="false">IFERROR(E7/B7, 0)</f>
        <v>0</v>
      </c>
    </row>
    <row r="8" customFormat="false" ht="25.5" hidden="false" customHeight="true" outlineLevel="0" collapsed="false">
      <c r="A8" s="9" t="s">
        <v>170</v>
      </c>
      <c r="B8" s="14" t="n">
        <v>50000</v>
      </c>
      <c r="C8" s="15" t="n">
        <v>0</v>
      </c>
      <c r="D8" s="15" t="n">
        <v>0</v>
      </c>
      <c r="E8" s="15" t="n">
        <v>0</v>
      </c>
      <c r="F8" s="16" t="n">
        <f aca="false">IFERROR(E8/B8, 0)</f>
        <v>0</v>
      </c>
    </row>
    <row r="9" customFormat="false" ht="25.5" hidden="false" customHeight="true" outlineLevel="0" collapsed="false">
      <c r="A9" s="9" t="s">
        <v>171</v>
      </c>
      <c r="B9" s="14" t="n">
        <v>200</v>
      </c>
      <c r="C9" s="15" t="n">
        <v>0</v>
      </c>
      <c r="D9" s="15" t="n">
        <v>0</v>
      </c>
      <c r="E9" s="15" t="n">
        <v>0</v>
      </c>
      <c r="F9" s="16" t="n">
        <f aca="false">IFERROR(E9/B9, 0)</f>
        <v>0</v>
      </c>
    </row>
    <row r="10" customFormat="false" ht="25.5" hidden="false" customHeight="true" outlineLevel="0" collapsed="false">
      <c r="A10" s="9" t="s">
        <v>172</v>
      </c>
      <c r="B10" s="14" t="n">
        <v>100</v>
      </c>
      <c r="C10" s="15" t="n">
        <v>0</v>
      </c>
      <c r="D10" s="15" t="n">
        <v>0</v>
      </c>
      <c r="E10" s="15" t="n">
        <v>0</v>
      </c>
      <c r="F10" s="16" t="n">
        <f aca="false">IFERROR(E10/B10, 0)</f>
        <v>0</v>
      </c>
    </row>
    <row r="11" customFormat="false" ht="25.5" hidden="false" customHeight="true" outlineLevel="0" collapsed="false">
      <c r="A11" s="9" t="s">
        <v>173</v>
      </c>
      <c r="B11" s="14" t="n">
        <v>500</v>
      </c>
      <c r="C11" s="15" t="n">
        <v>0</v>
      </c>
      <c r="D11" s="15" t="n">
        <v>0</v>
      </c>
      <c r="E11" s="15" t="n">
        <v>0</v>
      </c>
      <c r="F11" s="16" t="n">
        <f aca="false">IFERROR(E11/B11, 0)</f>
        <v>0</v>
      </c>
    </row>
    <row r="12" customFormat="false" ht="25.5" hidden="false" customHeight="true" outlineLevel="0" collapsed="false">
      <c r="A12" s="9" t="s">
        <v>174</v>
      </c>
      <c r="B12" s="14" t="n">
        <v>30</v>
      </c>
      <c r="C12" s="15" t="n">
        <v>0</v>
      </c>
      <c r="D12" s="15" t="n">
        <v>0</v>
      </c>
      <c r="E12" s="15" t="n">
        <v>0</v>
      </c>
      <c r="F12" s="16" t="n">
        <f aca="false">IFERROR(E12/B12, 0)</f>
        <v>0</v>
      </c>
    </row>
    <row r="13" customFormat="false" ht="25.5" hidden="false" customHeight="true" outlineLevel="0" collapsed="false">
      <c r="A13" s="9" t="s">
        <v>175</v>
      </c>
      <c r="B13" s="14" t="n">
        <v>120</v>
      </c>
      <c r="C13" s="15" t="n">
        <v>0</v>
      </c>
      <c r="D13" s="15" t="n">
        <v>0</v>
      </c>
      <c r="E13" s="15" t="n">
        <v>0</v>
      </c>
      <c r="F13" s="16" t="n">
        <f aca="false">IFERROR(E13/B13, 0)</f>
        <v>0</v>
      </c>
    </row>
    <row r="14" customFormat="false" ht="25.5" hidden="false" customHeight="true" outlineLevel="0" collapsed="false">
      <c r="A14" s="9" t="s">
        <v>176</v>
      </c>
      <c r="B14" s="14" t="n">
        <v>50</v>
      </c>
      <c r="C14" s="15" t="n">
        <v>0</v>
      </c>
      <c r="D14" s="15" t="n">
        <v>0</v>
      </c>
      <c r="E14" s="15" t="n">
        <v>0</v>
      </c>
      <c r="F14" s="16" t="n">
        <f aca="false">IFERROR(E14/B14, 0)</f>
        <v>0</v>
      </c>
    </row>
    <row r="15" customFormat="false" ht="25.5" hidden="false" customHeight="true" outlineLevel="0" collapsed="false">
      <c r="A15" s="9" t="s">
        <v>177</v>
      </c>
      <c r="B15" s="14" t="n">
        <v>100</v>
      </c>
      <c r="C15" s="15" t="n">
        <v>0</v>
      </c>
      <c r="D15" s="15" t="n">
        <v>0</v>
      </c>
      <c r="E15" s="15" t="n">
        <v>0</v>
      </c>
      <c r="F15" s="16" t="n">
        <f aca="false">IFERROR(E15/B15, 0)</f>
        <v>0</v>
      </c>
    </row>
    <row r="16" customFormat="false" ht="25.5" hidden="false" customHeight="true" outlineLevel="0" collapsed="false">
      <c r="A16" s="9" t="s">
        <v>178</v>
      </c>
      <c r="B16" s="14" t="n">
        <v>50</v>
      </c>
      <c r="C16" s="15" t="n">
        <v>0</v>
      </c>
      <c r="D16" s="15" t="n">
        <v>0</v>
      </c>
      <c r="E16" s="15" t="n">
        <v>0</v>
      </c>
      <c r="F16" s="16" t="n">
        <f aca="false">IFERROR(E16/B16, 0)</f>
        <v>0</v>
      </c>
    </row>
    <row r="17" customFormat="false" ht="25.5" hidden="false" customHeight="true" outlineLevel="0" collapsed="false">
      <c r="A17" s="9" t="s">
        <v>179</v>
      </c>
      <c r="B17" s="14" t="n">
        <v>100</v>
      </c>
      <c r="C17" s="15" t="n">
        <v>0</v>
      </c>
      <c r="D17" s="15" t="n">
        <v>0</v>
      </c>
      <c r="E17" s="15" t="n">
        <v>0</v>
      </c>
      <c r="F17" s="16" t="n">
        <f aca="false">IFERROR(E17/B17, 0)</f>
        <v>0</v>
      </c>
    </row>
    <row r="18" customFormat="false" ht="25.5" hidden="false" customHeight="true" outlineLevel="0" collapsed="false">
      <c r="A18" s="9" t="s">
        <v>180</v>
      </c>
      <c r="B18" s="14" t="n">
        <v>5000</v>
      </c>
      <c r="C18" s="15" t="n">
        <v>0</v>
      </c>
      <c r="D18" s="15" t="n">
        <v>0</v>
      </c>
      <c r="E18" s="15" t="n">
        <v>0</v>
      </c>
      <c r="F18" s="16" t="n">
        <f aca="false">IFERROR(E18/B18, 0)</f>
        <v>0</v>
      </c>
    </row>
    <row r="19" customFormat="false" ht="25.5" hidden="false" customHeight="true" outlineLevel="0" collapsed="false">
      <c r="A19" s="9" t="s">
        <v>181</v>
      </c>
      <c r="B19" s="14" t="n">
        <v>500</v>
      </c>
      <c r="C19" s="15" t="n">
        <v>0</v>
      </c>
      <c r="D19" s="15" t="n">
        <v>0</v>
      </c>
      <c r="E19" s="15" t="n">
        <v>0</v>
      </c>
      <c r="F19" s="16" t="n">
        <f aca="false">IFERROR(E19/B19, 0)</f>
        <v>0</v>
      </c>
    </row>
    <row r="21" customFormat="false" ht="15" hidden="false" customHeight="false" outlineLevel="0" collapsed="false">
      <c r="A21" s="17" t="s">
        <v>182</v>
      </c>
      <c r="B21" s="18"/>
      <c r="C21" s="18"/>
      <c r="D21" s="18"/>
      <c r="E21" s="18"/>
      <c r="F21" s="19" t="n">
        <f aca="false">AVERAGE(F5:F19)</f>
        <v>0</v>
      </c>
    </row>
  </sheetData>
  <mergeCells count="2">
    <mergeCell ref="A1:F1"/>
    <mergeCell ref="A2:F2"/>
  </mergeCells>
  <conditionalFormatting sqref="F5:F19">
    <cfRule type="cellIs" priority="2" operator="lessThan" aboveAverage="0" equalAverage="0" bottom="0" percent="0" rank="0" text="" dxfId="0">
      <formula>0.5</formula>
    </cfRule>
    <cfRule type="cellIs" priority="3" operator="between" aboveAverage="0" equalAverage="0" bottom="0" percent="0" rank="0" text="" dxfId="1">
      <formula>0.5</formula>
      <formula>0.9999</formula>
    </cfRule>
    <cfRule type="cellIs" priority="4" operator="greaterThanOrEqual" aboveAverage="0" equalAverage="0" bottom="0" percent="0" rank="0" text="" dxfId="2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8"/>
  </cols>
  <sheetData>
    <row r="1" customFormat="false" ht="36" hidden="false" customHeight="true" outlineLevel="0" collapsed="false">
      <c r="A1" s="1" t="s">
        <v>183</v>
      </c>
      <c r="B1" s="1"/>
      <c r="C1" s="1"/>
      <c r="D1" s="1"/>
      <c r="E1" s="1"/>
    </row>
    <row r="3" customFormat="false" ht="31.5" hidden="false" customHeight="true" outlineLevel="0" collapsed="false">
      <c r="A3" s="3" t="s">
        <v>184</v>
      </c>
      <c r="B3" s="3" t="s">
        <v>185</v>
      </c>
      <c r="C3" s="3" t="s">
        <v>4</v>
      </c>
      <c r="D3" s="3" t="s">
        <v>186</v>
      </c>
      <c r="E3" s="3" t="s">
        <v>8</v>
      </c>
    </row>
    <row r="4" customFormat="false" ht="27.75" hidden="false" customHeight="true" outlineLevel="0" collapsed="false">
      <c r="A4" s="20" t="s">
        <v>187</v>
      </c>
      <c r="B4" s="21" t="s">
        <v>188</v>
      </c>
      <c r="C4" s="6" t="s">
        <v>189</v>
      </c>
      <c r="D4" s="6" t="s">
        <v>190</v>
      </c>
      <c r="E4" s="8" t="s">
        <v>16</v>
      </c>
    </row>
    <row r="5" customFormat="false" ht="27.75" hidden="false" customHeight="true" outlineLevel="0" collapsed="false">
      <c r="A5" s="20" t="s">
        <v>187</v>
      </c>
      <c r="B5" s="21" t="s">
        <v>188</v>
      </c>
      <c r="C5" s="6" t="s">
        <v>191</v>
      </c>
      <c r="D5" s="6" t="s">
        <v>192</v>
      </c>
      <c r="E5" s="8" t="s">
        <v>16</v>
      </c>
    </row>
    <row r="6" customFormat="false" ht="27.75" hidden="false" customHeight="true" outlineLevel="0" collapsed="false">
      <c r="A6" s="20" t="s">
        <v>187</v>
      </c>
      <c r="B6" s="21" t="s">
        <v>188</v>
      </c>
      <c r="C6" s="6" t="s">
        <v>193</v>
      </c>
      <c r="D6" s="6" t="s">
        <v>20</v>
      </c>
      <c r="E6" s="8" t="s">
        <v>16</v>
      </c>
    </row>
    <row r="7" customFormat="false" ht="27.75" hidden="false" customHeight="true" outlineLevel="0" collapsed="false">
      <c r="A7" s="20" t="s">
        <v>194</v>
      </c>
      <c r="B7" s="21" t="s">
        <v>195</v>
      </c>
      <c r="C7" s="6" t="s">
        <v>196</v>
      </c>
      <c r="D7" s="6" t="s">
        <v>197</v>
      </c>
      <c r="E7" s="8" t="s">
        <v>16</v>
      </c>
    </row>
    <row r="8" customFormat="false" ht="27.75" hidden="false" customHeight="true" outlineLevel="0" collapsed="false">
      <c r="A8" s="20" t="s">
        <v>194</v>
      </c>
      <c r="B8" s="21" t="s">
        <v>195</v>
      </c>
      <c r="C8" s="6" t="s">
        <v>198</v>
      </c>
      <c r="D8" s="6" t="s">
        <v>199</v>
      </c>
      <c r="E8" s="8" t="s">
        <v>16</v>
      </c>
    </row>
    <row r="9" customFormat="false" ht="27.75" hidden="false" customHeight="true" outlineLevel="0" collapsed="false">
      <c r="A9" s="20" t="s">
        <v>194</v>
      </c>
      <c r="B9" s="21" t="s">
        <v>195</v>
      </c>
      <c r="C9" s="6" t="s">
        <v>200</v>
      </c>
      <c r="D9" s="6" t="s">
        <v>25</v>
      </c>
      <c r="E9" s="8" t="s">
        <v>16</v>
      </c>
    </row>
    <row r="10" customFormat="false" ht="27.75" hidden="false" customHeight="true" outlineLevel="0" collapsed="false">
      <c r="A10" s="20" t="s">
        <v>201</v>
      </c>
      <c r="B10" s="21" t="s">
        <v>202</v>
      </c>
      <c r="C10" s="6" t="s">
        <v>203</v>
      </c>
      <c r="D10" s="6" t="s">
        <v>84</v>
      </c>
      <c r="E10" s="8" t="s">
        <v>16</v>
      </c>
    </row>
    <row r="11" customFormat="false" ht="27.75" hidden="false" customHeight="true" outlineLevel="0" collapsed="false">
      <c r="A11" s="20" t="s">
        <v>201</v>
      </c>
      <c r="B11" s="21" t="s">
        <v>202</v>
      </c>
      <c r="C11" s="6" t="s">
        <v>204</v>
      </c>
      <c r="D11" s="6" t="s">
        <v>65</v>
      </c>
      <c r="E11" s="8" t="s">
        <v>16</v>
      </c>
    </row>
    <row r="12" customFormat="false" ht="27.75" hidden="false" customHeight="true" outlineLevel="0" collapsed="false">
      <c r="A12" s="20" t="s">
        <v>205</v>
      </c>
      <c r="B12" s="21" t="s">
        <v>206</v>
      </c>
      <c r="C12" s="6" t="s">
        <v>207</v>
      </c>
      <c r="D12" s="6" t="s">
        <v>208</v>
      </c>
      <c r="E12" s="8" t="s">
        <v>16</v>
      </c>
    </row>
    <row r="13" customFormat="false" ht="27.75" hidden="false" customHeight="true" outlineLevel="0" collapsed="false">
      <c r="A13" s="20" t="s">
        <v>205</v>
      </c>
      <c r="B13" s="21" t="s">
        <v>206</v>
      </c>
      <c r="C13" s="6" t="s">
        <v>209</v>
      </c>
      <c r="D13" s="6" t="s">
        <v>79</v>
      </c>
      <c r="E13" s="8" t="s">
        <v>16</v>
      </c>
    </row>
    <row r="14" customFormat="false" ht="27.75" hidden="false" customHeight="true" outlineLevel="0" collapsed="false">
      <c r="A14" s="20" t="s">
        <v>210</v>
      </c>
      <c r="B14" s="21" t="s">
        <v>211</v>
      </c>
      <c r="C14" s="6" t="s">
        <v>212</v>
      </c>
      <c r="D14" s="6" t="s">
        <v>213</v>
      </c>
      <c r="E14" s="8" t="s">
        <v>16</v>
      </c>
    </row>
    <row r="15" customFormat="false" ht="27.75" hidden="false" customHeight="true" outlineLevel="0" collapsed="false">
      <c r="A15" s="20" t="s">
        <v>210</v>
      </c>
      <c r="B15" s="21" t="s">
        <v>211</v>
      </c>
      <c r="C15" s="6" t="s">
        <v>214</v>
      </c>
      <c r="D15" s="6" t="s">
        <v>215</v>
      </c>
      <c r="E15" s="8" t="s">
        <v>16</v>
      </c>
    </row>
    <row r="16" customFormat="false" ht="27.75" hidden="false" customHeight="true" outlineLevel="0" collapsed="false">
      <c r="A16" s="20" t="s">
        <v>216</v>
      </c>
      <c r="B16" s="21" t="s">
        <v>217</v>
      </c>
      <c r="C16" s="6" t="s">
        <v>218</v>
      </c>
      <c r="D16" s="6" t="s">
        <v>219</v>
      </c>
      <c r="E16" s="8" t="s">
        <v>16</v>
      </c>
    </row>
    <row r="17" customFormat="false" ht="27.75" hidden="false" customHeight="true" outlineLevel="0" collapsed="false">
      <c r="A17" s="20" t="s">
        <v>216</v>
      </c>
      <c r="B17" s="21" t="s">
        <v>217</v>
      </c>
      <c r="C17" s="6" t="s">
        <v>220</v>
      </c>
      <c r="D17" s="6" t="s">
        <v>221</v>
      </c>
      <c r="E17" s="8" t="s">
        <v>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0"/>
  </cols>
  <sheetData>
    <row r="1" customFormat="false" ht="36" hidden="false" customHeight="true" outlineLevel="0" collapsed="false">
      <c r="A1" s="1" t="s">
        <v>222</v>
      </c>
      <c r="B1" s="1"/>
    </row>
    <row r="2" customFormat="false" ht="15" hidden="false" customHeight="true" outlineLevel="0" collapsed="false">
      <c r="A2" s="13" t="s">
        <v>223</v>
      </c>
      <c r="B2" s="13"/>
    </row>
    <row r="4" customFormat="false" ht="31.5" hidden="false" customHeight="true" outlineLevel="0" collapsed="false">
      <c r="A4" s="3" t="s">
        <v>224</v>
      </c>
      <c r="B4" s="3" t="s">
        <v>225</v>
      </c>
    </row>
    <row r="5" customFormat="false" ht="49.5" hidden="false" customHeight="true" outlineLevel="0" collapsed="false">
      <c r="A5" s="9" t="s">
        <v>226</v>
      </c>
      <c r="B5" s="10" t="s">
        <v>227</v>
      </c>
    </row>
    <row r="6" customFormat="false" ht="63.75" hidden="false" customHeight="true" outlineLevel="0" collapsed="false">
      <c r="A6" s="9" t="s">
        <v>228</v>
      </c>
      <c r="B6" s="10" t="s">
        <v>229</v>
      </c>
    </row>
    <row r="7" customFormat="false" ht="49.5" hidden="false" customHeight="true" outlineLevel="0" collapsed="false">
      <c r="A7" s="9" t="s">
        <v>230</v>
      </c>
      <c r="B7" s="10" t="s">
        <v>231</v>
      </c>
    </row>
    <row r="8" customFormat="false" ht="49.5" hidden="false" customHeight="true" outlineLevel="0" collapsed="false">
      <c r="A8" s="9" t="s">
        <v>232</v>
      </c>
      <c r="B8" s="10" t="s">
        <v>233</v>
      </c>
    </row>
    <row r="9" customFormat="false" ht="63.75" hidden="false" customHeight="true" outlineLevel="0" collapsed="false">
      <c r="A9" s="9" t="s">
        <v>234</v>
      </c>
      <c r="B9" s="10" t="s">
        <v>235</v>
      </c>
    </row>
    <row r="10" customFormat="false" ht="63.75" hidden="false" customHeight="true" outlineLevel="0" collapsed="false">
      <c r="A10" s="9" t="s">
        <v>236</v>
      </c>
      <c r="B10" s="10" t="s">
        <v>237</v>
      </c>
    </row>
    <row r="11" customFormat="false" ht="49.5" hidden="false" customHeight="true" outlineLevel="0" collapsed="false">
      <c r="A11" s="9" t="s">
        <v>238</v>
      </c>
      <c r="B11" s="10" t="s">
        <v>239</v>
      </c>
    </row>
    <row r="12" customFormat="false" ht="49.5" hidden="false" customHeight="true" outlineLevel="0" collapsed="false">
      <c r="A12" s="9" t="s">
        <v>240</v>
      </c>
      <c r="B12" s="10" t="s">
        <v>241</v>
      </c>
    </row>
    <row r="13" customFormat="false" ht="49.5" hidden="false" customHeight="true" outlineLevel="0" collapsed="false">
      <c r="A13" s="9" t="s">
        <v>242</v>
      </c>
      <c r="B13" s="10" t="s">
        <v>243</v>
      </c>
    </row>
    <row r="14" customFormat="false" ht="63.75" hidden="false" customHeight="true" outlineLevel="0" collapsed="false">
      <c r="A14" s="9" t="s">
        <v>244</v>
      </c>
      <c r="B14" s="10" t="s">
        <v>245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2026-04-21T16:00:43Z</dcterms:created>
  <dc:creator>openpyxl</dc:creator>
  <dc:description/>
  <dc:language>en-US</dc:language>
  <cp:lastModifiedBy/>
  <dcterms:modified xsi:type="dcterms:W3CDTF">2026-04-21T16:00:43Z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